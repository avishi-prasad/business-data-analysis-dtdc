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4.xml" ContentType="application/vnd.openxmlformats-officedocument.spreadsheetml.pivotTable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5.xml" ContentType="application/vnd.openxmlformats-officedocument.spreadsheetml.pivotTable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b222eeb233b819/Documents/BUISNESS DATA MANAGEMENT/"/>
    </mc:Choice>
  </mc:AlternateContent>
  <xr:revisionPtr revIDLastSave="2074" documentId="8_{C0933FE7-9E47-4FC6-B21F-36736A244D68}" xr6:coauthVersionLast="47" xr6:coauthVersionMax="47" xr10:uidLastSave="{B4F1D1CB-486F-4B5E-9EE7-F26428FACE92}"/>
  <bookViews>
    <workbookView xWindow="-110" yWindow="-110" windowWidth="19420" windowHeight="10300" firstSheet="16" activeTab="16" xr2:uid="{E8EC127B-27B8-40E2-BE99-A7F3089BBAC3}"/>
  </bookViews>
  <sheets>
    <sheet name="problem statement_1" sheetId="3" r:id="rId1"/>
    <sheet name="problem_statement_2.2" sheetId="4" r:id="rId2"/>
    <sheet name="problem_statement_2.0" sheetId="7" r:id="rId3"/>
    <sheet name="high_demand_regions" sheetId="16" r:id="rId4"/>
    <sheet name="heatmap" sheetId="17" r:id="rId5"/>
    <sheet name="problem_statement_2.1" sheetId="5" r:id="rId6"/>
    <sheet name="problem_statement_2.3" sheetId="6" r:id="rId7"/>
    <sheet name="avg_del_time" sheetId="10" r:id="rId8"/>
    <sheet name="delayed_parcels" sheetId="12" r:id="rId9"/>
    <sheet name="%delayed_parcels_by_region" sheetId="13" r:id="rId10"/>
    <sheet name="standard_or_express" sheetId="14" r:id="rId11"/>
    <sheet name="parcel_weights" sheetId="15" r:id="rId12"/>
    <sheet name="parcel_weights vs revenue" sheetId="19" r:id="rId13"/>
    <sheet name="parcel weight vs delivery time" sheetId="20" r:id="rId14"/>
    <sheet name="Sheet2" sheetId="23" r:id="rId15"/>
    <sheet name="peak_weekday" sheetId="21" r:id="rId16"/>
    <sheet name="original_data" sheetId="1" r:id="rId17"/>
    <sheet name="Sheet4" sheetId="25" r:id="rId18"/>
    <sheet name="service_type vs revenue" sheetId="18" r:id="rId19"/>
    <sheet name="Sheet1" sheetId="22" r:id="rId20"/>
    <sheet name="Sheet3" sheetId="24" r:id="rId21"/>
  </sheets>
  <definedNames>
    <definedName name="_xlnm._FilterDatabase" localSheetId="9" hidden="1">'%delayed_parcels_by_region'!$A$1:$D$55</definedName>
    <definedName name="_xlnm._FilterDatabase" localSheetId="16" hidden="1">original_data!$A$1:$P$226</definedName>
    <definedName name="_xlchart.v5.0" hidden="1">heatmap!$A$1</definedName>
    <definedName name="_xlchart.v5.1" hidden="1">heatmap!$A$2:$A$18</definedName>
    <definedName name="_xlchart.v5.2" hidden="1">heatmap!$B$1</definedName>
    <definedName name="_xlchart.v5.3" hidden="1">heatmap!$B$2:$B$18</definedName>
  </definedNames>
  <calcPr calcId="191029"/>
  <pivotCaches>
    <pivotCache cacheId="0" r:id="rId22"/>
    <pivotCache cacheId="1" r:id="rId23"/>
    <pivotCache cacheId="2" r:id="rId24"/>
    <pivotCache cacheId="3" r:id="rId25"/>
    <pivotCache cacheId="4" r:id="rId26"/>
    <pivotCache cacheId="11" r:id="rId27"/>
    <pivotCache cacheId="18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20" l="1"/>
  <c r="D58" i="13"/>
  <c r="D57" i="13"/>
  <c r="F3" i="23"/>
  <c r="F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2" i="23"/>
  <c r="A2" i="13" a="1"/>
  <c r="A2" i="13" s="1"/>
  <c r="C2" i="13" s="1"/>
  <c r="A2" i="10" a="1"/>
  <c r="A2" i="10" s="1"/>
  <c r="M6" i="1"/>
  <c r="M7" i="1"/>
  <c r="M8" i="1"/>
  <c r="N8" i="1" s="1"/>
  <c r="O8" i="1" s="1"/>
  <c r="M9" i="1"/>
  <c r="M10" i="1"/>
  <c r="M11" i="1"/>
  <c r="M12" i="1"/>
  <c r="N12" i="1" s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N35" i="1" s="1"/>
  <c r="O35" i="1" s="1"/>
  <c r="M36" i="1"/>
  <c r="M37" i="1"/>
  <c r="N37" i="1" s="1"/>
  <c r="O37" i="1" s="1"/>
  <c r="M38" i="1"/>
  <c r="M39" i="1"/>
  <c r="M40" i="1"/>
  <c r="M41" i="1"/>
  <c r="M42" i="1"/>
  <c r="M43" i="1"/>
  <c r="M44" i="1"/>
  <c r="M45" i="1"/>
  <c r="M46" i="1"/>
  <c r="M47" i="1"/>
  <c r="N47" i="1" s="1"/>
  <c r="M48" i="1"/>
  <c r="N48" i="1" s="1"/>
  <c r="O48" i="1" s="1"/>
  <c r="M49" i="1"/>
  <c r="M50" i="1"/>
  <c r="M51" i="1"/>
  <c r="M52" i="1"/>
  <c r="M53" i="1"/>
  <c r="N53" i="1" s="1"/>
  <c r="O53" i="1" s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N76" i="1" s="1"/>
  <c r="O76" i="1" s="1"/>
  <c r="M77" i="1"/>
  <c r="M78" i="1"/>
  <c r="M79" i="1"/>
  <c r="M80" i="1"/>
  <c r="N80" i="1" s="1"/>
  <c r="O80" i="1" s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N98" i="1" s="1"/>
  <c r="O98" i="1" s="1"/>
  <c r="M99" i="1"/>
  <c r="M100" i="1"/>
  <c r="N100" i="1" s="1"/>
  <c r="O100" i="1" s="1"/>
  <c r="M101" i="1"/>
  <c r="M102" i="1"/>
  <c r="N102" i="1" s="1"/>
  <c r="O102" i="1" s="1"/>
  <c r="M103" i="1"/>
  <c r="M104" i="1"/>
  <c r="N104" i="1" s="1"/>
  <c r="O104" i="1" s="1"/>
  <c r="M105" i="1"/>
  <c r="N105" i="1" s="1"/>
  <c r="O105" i="1" s="1"/>
  <c r="M106" i="1"/>
  <c r="M107" i="1"/>
  <c r="M108" i="1"/>
  <c r="N108" i="1" s="1"/>
  <c r="M109" i="1"/>
  <c r="N109" i="1" s="1"/>
  <c r="M110" i="1"/>
  <c r="M111" i="1"/>
  <c r="M112" i="1"/>
  <c r="M113" i="1"/>
  <c r="M114" i="1"/>
  <c r="M115" i="1"/>
  <c r="M116" i="1"/>
  <c r="M117" i="1"/>
  <c r="M118" i="1"/>
  <c r="N118" i="1" s="1"/>
  <c r="O118" i="1" s="1"/>
  <c r="M119" i="1"/>
  <c r="M120" i="1"/>
  <c r="M121" i="1"/>
  <c r="M122" i="1"/>
  <c r="M123" i="1"/>
  <c r="N123" i="1" s="1"/>
  <c r="O123" i="1" s="1"/>
  <c r="M124" i="1"/>
  <c r="N124" i="1" s="1"/>
  <c r="O124" i="1" s="1"/>
  <c r="M125" i="1"/>
  <c r="M126" i="1"/>
  <c r="M127" i="1"/>
  <c r="M128" i="1"/>
  <c r="N128" i="1" s="1"/>
  <c r="O128" i="1" s="1"/>
  <c r="M129" i="1"/>
  <c r="N129" i="1" s="1"/>
  <c r="O129" i="1" s="1"/>
  <c r="M130" i="1"/>
  <c r="M131" i="1"/>
  <c r="M132" i="1"/>
  <c r="M133" i="1"/>
  <c r="N133" i="1" s="1"/>
  <c r="O133" i="1" s="1"/>
  <c r="M134" i="1"/>
  <c r="N134" i="1" s="1"/>
  <c r="O134" i="1" s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N168" i="1" s="1"/>
  <c r="O168" i="1" s="1"/>
  <c r="M169" i="1"/>
  <c r="M170" i="1"/>
  <c r="M171" i="1"/>
  <c r="M172" i="1"/>
  <c r="N172" i="1" s="1"/>
  <c r="O172" i="1" s="1"/>
  <c r="M173" i="1"/>
  <c r="M174" i="1"/>
  <c r="N174" i="1" s="1"/>
  <c r="O174" i="1" s="1"/>
  <c r="M175" i="1"/>
  <c r="M176" i="1"/>
  <c r="M177" i="1"/>
  <c r="M178" i="1"/>
  <c r="N178" i="1" s="1"/>
  <c r="M179" i="1"/>
  <c r="M180" i="1"/>
  <c r="M181" i="1"/>
  <c r="M182" i="1"/>
  <c r="M183" i="1"/>
  <c r="M184" i="1"/>
  <c r="M185" i="1"/>
  <c r="M186" i="1"/>
  <c r="M187" i="1"/>
  <c r="N187" i="1" s="1"/>
  <c r="O187" i="1" s="1"/>
  <c r="M188" i="1"/>
  <c r="M189" i="1"/>
  <c r="M190" i="1"/>
  <c r="M191" i="1"/>
  <c r="M192" i="1"/>
  <c r="M193" i="1"/>
  <c r="M194" i="1"/>
  <c r="M195" i="1"/>
  <c r="M196" i="1"/>
  <c r="M197" i="1"/>
  <c r="M198" i="1"/>
  <c r="N198" i="1" s="1"/>
  <c r="O198" i="1" s="1"/>
  <c r="M199" i="1"/>
  <c r="M200" i="1"/>
  <c r="M201" i="1"/>
  <c r="M202" i="1"/>
  <c r="M203" i="1"/>
  <c r="M204" i="1"/>
  <c r="M205" i="1"/>
  <c r="M206" i="1"/>
  <c r="N206" i="1" s="1"/>
  <c r="M207" i="1"/>
  <c r="M208" i="1"/>
  <c r="N208" i="1" s="1"/>
  <c r="O208" i="1" s="1"/>
  <c r="M209" i="1"/>
  <c r="M210" i="1"/>
  <c r="M211" i="1"/>
  <c r="N211" i="1" s="1"/>
  <c r="O211" i="1" s="1"/>
  <c r="M212" i="1"/>
  <c r="M213" i="1"/>
  <c r="M214" i="1"/>
  <c r="M215" i="1"/>
  <c r="M216" i="1"/>
  <c r="M217" i="1"/>
  <c r="M218" i="1"/>
  <c r="M219" i="1"/>
  <c r="N219" i="1" s="1"/>
  <c r="O219" i="1" s="1"/>
  <c r="M220" i="1"/>
  <c r="N220" i="1" s="1"/>
  <c r="O220" i="1" s="1"/>
  <c r="M222" i="1"/>
  <c r="M223" i="1"/>
  <c r="M224" i="1"/>
  <c r="M225" i="1"/>
  <c r="M226" i="1"/>
  <c r="N226" i="1" s="1"/>
  <c r="M3" i="1"/>
  <c r="M4" i="1"/>
  <c r="M2" i="1"/>
  <c r="B3" i="7"/>
  <c r="B6" i="7" s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D55" i="23"/>
  <c r="B7" i="18"/>
  <c r="B6" i="18"/>
  <c r="D3" i="20"/>
  <c r="D2" i="20"/>
  <c r="N170" i="1" l="1"/>
  <c r="O170" i="1" s="1"/>
  <c r="N209" i="1"/>
  <c r="O209" i="1" s="1"/>
  <c r="N125" i="1"/>
  <c r="O125" i="1" s="1"/>
  <c r="N107" i="1"/>
  <c r="O107" i="1" s="1"/>
  <c r="N202" i="1"/>
  <c r="O202" i="1" s="1"/>
  <c r="N86" i="1"/>
  <c r="O86" i="1" s="1"/>
  <c r="N169" i="1"/>
  <c r="O169" i="1" s="1"/>
  <c r="N131" i="1"/>
  <c r="O131" i="1" s="1"/>
  <c r="O108" i="1"/>
  <c r="B2" i="13"/>
  <c r="D2" i="13" s="1"/>
  <c r="B44" i="13"/>
  <c r="B32" i="13"/>
  <c r="B20" i="13"/>
  <c r="B8" i="13"/>
  <c r="C50" i="13"/>
  <c r="C38" i="13"/>
  <c r="C26" i="13"/>
  <c r="C14" i="13"/>
  <c r="N63" i="1"/>
  <c r="O63" i="1" s="1"/>
  <c r="N167" i="1"/>
  <c r="O167" i="1" s="1"/>
  <c r="N119" i="1"/>
  <c r="O119" i="1" s="1"/>
  <c r="N45" i="1"/>
  <c r="O45" i="1" s="1"/>
  <c r="B55" i="13"/>
  <c r="B43" i="13"/>
  <c r="B31" i="13"/>
  <c r="B19" i="13"/>
  <c r="B7" i="13"/>
  <c r="C49" i="13"/>
  <c r="C37" i="13"/>
  <c r="C25" i="13"/>
  <c r="C13" i="13"/>
  <c r="N106" i="1"/>
  <c r="B31" i="10" s="1"/>
  <c r="N46" i="1"/>
  <c r="O46" i="1" s="1"/>
  <c r="N34" i="1"/>
  <c r="O34" i="1" s="1"/>
  <c r="N10" i="1"/>
  <c r="O10" i="1" s="1"/>
  <c r="N44" i="1"/>
  <c r="O44" i="1" s="1"/>
  <c r="O47" i="1"/>
  <c r="B54" i="13"/>
  <c r="B42" i="13"/>
  <c r="B30" i="13"/>
  <c r="B18" i="13"/>
  <c r="B6" i="13"/>
  <c r="C48" i="13"/>
  <c r="C36" i="13"/>
  <c r="C24" i="13"/>
  <c r="C12" i="13"/>
  <c r="N9" i="1"/>
  <c r="O9" i="1" s="1"/>
  <c r="B53" i="13"/>
  <c r="B41" i="13"/>
  <c r="B29" i="13"/>
  <c r="B17" i="13"/>
  <c r="B5" i="13"/>
  <c r="C47" i="13"/>
  <c r="C35" i="13"/>
  <c r="C23" i="13"/>
  <c r="C11" i="13"/>
  <c r="B52" i="13"/>
  <c r="B40" i="13"/>
  <c r="B28" i="13"/>
  <c r="B16" i="13"/>
  <c r="B4" i="13"/>
  <c r="C46" i="13"/>
  <c r="C34" i="13"/>
  <c r="C22" i="13"/>
  <c r="C10" i="13"/>
  <c r="N165" i="1"/>
  <c r="O165" i="1" s="1"/>
  <c r="N225" i="1"/>
  <c r="O225" i="1" s="1"/>
  <c r="N81" i="1"/>
  <c r="O81" i="1" s="1"/>
  <c r="N57" i="1"/>
  <c r="O57" i="1" s="1"/>
  <c r="N70" i="1"/>
  <c r="O70" i="1" s="1"/>
  <c r="O226" i="1"/>
  <c r="B51" i="13"/>
  <c r="B39" i="13"/>
  <c r="B27" i="13"/>
  <c r="B15" i="13"/>
  <c r="B3" i="13"/>
  <c r="C45" i="13"/>
  <c r="C33" i="13"/>
  <c r="C21" i="13"/>
  <c r="C9" i="13"/>
  <c r="N126" i="1"/>
  <c r="O126" i="1" s="1"/>
  <c r="N151" i="1"/>
  <c r="O151" i="1" s="1"/>
  <c r="N135" i="1"/>
  <c r="O135" i="1" s="1"/>
  <c r="N5" i="1"/>
  <c r="B5" i="10" s="1"/>
  <c r="O206" i="1"/>
  <c r="O12" i="1"/>
  <c r="B50" i="13"/>
  <c r="B38" i="13"/>
  <c r="B26" i="13"/>
  <c r="B14" i="13"/>
  <c r="D14" i="13" s="1"/>
  <c r="C44" i="13"/>
  <c r="C32" i="13"/>
  <c r="C20" i="13"/>
  <c r="C8" i="13"/>
  <c r="N114" i="1"/>
  <c r="O114" i="1" s="1"/>
  <c r="N175" i="1"/>
  <c r="O175" i="1" s="1"/>
  <c r="N55" i="1"/>
  <c r="O55" i="1" s="1"/>
  <c r="O178" i="1"/>
  <c r="B49" i="13"/>
  <c r="B37" i="13"/>
  <c r="B25" i="13"/>
  <c r="B13" i="13"/>
  <c r="C55" i="13"/>
  <c r="C43" i="13"/>
  <c r="C31" i="13"/>
  <c r="C19" i="13"/>
  <c r="C7" i="13"/>
  <c r="N112" i="1"/>
  <c r="O112" i="1" s="1"/>
  <c r="N136" i="1"/>
  <c r="O136" i="1" s="1"/>
  <c r="N22" i="1"/>
  <c r="O22" i="1" s="1"/>
  <c r="B48" i="13"/>
  <c r="B36" i="13"/>
  <c r="B24" i="13"/>
  <c r="B12" i="13"/>
  <c r="C54" i="13"/>
  <c r="C42" i="13"/>
  <c r="C30" i="13"/>
  <c r="C18" i="13"/>
  <c r="C6" i="13"/>
  <c r="N77" i="1"/>
  <c r="O77" i="1" s="1"/>
  <c r="N113" i="1"/>
  <c r="O113" i="1" s="1"/>
  <c r="N117" i="1"/>
  <c r="O117" i="1" s="1"/>
  <c r="B47" i="13"/>
  <c r="B35" i="13"/>
  <c r="B23" i="13"/>
  <c r="B11" i="13"/>
  <c r="C53" i="13"/>
  <c r="C41" i="13"/>
  <c r="C29" i="13"/>
  <c r="C17" i="13"/>
  <c r="C5" i="13"/>
  <c r="B46" i="13"/>
  <c r="B34" i="13"/>
  <c r="B22" i="13"/>
  <c r="B10" i="13"/>
  <c r="C52" i="13"/>
  <c r="C40" i="13"/>
  <c r="C28" i="13"/>
  <c r="C16" i="13"/>
  <c r="C4" i="13"/>
  <c r="N3" i="1"/>
  <c r="O3" i="1" s="1"/>
  <c r="O109" i="1"/>
  <c r="B45" i="13"/>
  <c r="B33" i="13"/>
  <c r="B21" i="13"/>
  <c r="B9" i="13"/>
  <c r="C51" i="13"/>
  <c r="C39" i="13"/>
  <c r="C27" i="13"/>
  <c r="C15" i="13"/>
  <c r="C3" i="13"/>
  <c r="B50" i="10"/>
  <c r="B37" i="10"/>
  <c r="B44" i="10"/>
  <c r="B32" i="10"/>
  <c r="B20" i="10"/>
  <c r="B13" i="10"/>
  <c r="B34" i="10"/>
  <c r="B55" i="10"/>
  <c r="B43" i="10"/>
  <c r="B19" i="10"/>
  <c r="B7" i="10"/>
  <c r="B46" i="10"/>
  <c r="B48" i="10"/>
  <c r="B45" i="10"/>
  <c r="B54" i="10"/>
  <c r="B53" i="10"/>
  <c r="B41" i="10"/>
  <c r="B29" i="10"/>
  <c r="B38" i="10"/>
  <c r="B24" i="10"/>
  <c r="B47" i="10"/>
  <c r="B22" i="10"/>
  <c r="B21" i="10"/>
  <c r="B42" i="10"/>
  <c r="B52" i="10"/>
  <c r="B40" i="10"/>
  <c r="B28" i="10"/>
  <c r="B26" i="10"/>
  <c r="B49" i="10"/>
  <c r="B36" i="10"/>
  <c r="B10" i="10"/>
  <c r="B33" i="10"/>
  <c r="B30" i="10"/>
  <c r="B51" i="10"/>
  <c r="B39" i="10"/>
  <c r="B27" i="10"/>
  <c r="B15" i="10"/>
  <c r="N201" i="1"/>
  <c r="O201" i="1" s="1"/>
  <c r="N69" i="1"/>
  <c r="O69" i="1" s="1"/>
  <c r="N33" i="1"/>
  <c r="O33" i="1" s="1"/>
  <c r="N21" i="1"/>
  <c r="O21" i="1" s="1"/>
  <c r="N224" i="1"/>
  <c r="O224" i="1" s="1"/>
  <c r="N212" i="1"/>
  <c r="O212" i="1" s="1"/>
  <c r="N164" i="1"/>
  <c r="O164" i="1" s="1"/>
  <c r="N152" i="1"/>
  <c r="O152" i="1" s="1"/>
  <c r="N140" i="1"/>
  <c r="O140" i="1" s="1"/>
  <c r="N68" i="1"/>
  <c r="O68" i="1" s="1"/>
  <c r="N56" i="1"/>
  <c r="O56" i="1" s="1"/>
  <c r="N32" i="1"/>
  <c r="O32" i="1" s="1"/>
  <c r="N199" i="1"/>
  <c r="O199" i="1" s="1"/>
  <c r="N163" i="1"/>
  <c r="O163" i="1" s="1"/>
  <c r="N91" i="1"/>
  <c r="O91" i="1" s="1"/>
  <c r="N67" i="1"/>
  <c r="O67" i="1" s="1"/>
  <c r="N19" i="1"/>
  <c r="O19" i="1" s="1"/>
  <c r="N78" i="1"/>
  <c r="O78" i="1" s="1"/>
  <c r="N42" i="1"/>
  <c r="O42" i="1" s="1"/>
  <c r="N197" i="1"/>
  <c r="O197" i="1" s="1"/>
  <c r="N161" i="1"/>
  <c r="O161" i="1" s="1"/>
  <c r="N89" i="1"/>
  <c r="O89" i="1" s="1"/>
  <c r="N41" i="1"/>
  <c r="O41" i="1" s="1"/>
  <c r="N88" i="1"/>
  <c r="O88" i="1" s="1"/>
  <c r="N28" i="1"/>
  <c r="O28" i="1" s="1"/>
  <c r="N207" i="1"/>
  <c r="O207" i="1" s="1"/>
  <c r="N171" i="1"/>
  <c r="O171" i="1" s="1"/>
  <c r="N147" i="1"/>
  <c r="O147" i="1" s="1"/>
  <c r="N111" i="1"/>
  <c r="O111" i="1" s="1"/>
  <c r="N75" i="1"/>
  <c r="O75" i="1" s="1"/>
  <c r="N39" i="1"/>
  <c r="O39" i="1" s="1"/>
  <c r="N218" i="1"/>
  <c r="O218" i="1" s="1"/>
  <c r="N194" i="1"/>
  <c r="O194" i="1" s="1"/>
  <c r="N122" i="1"/>
  <c r="O122" i="1" s="1"/>
  <c r="N74" i="1"/>
  <c r="O74" i="1" s="1"/>
  <c r="N50" i="1"/>
  <c r="O50" i="1" s="1"/>
  <c r="N26" i="1"/>
  <c r="O26" i="1" s="1"/>
  <c r="N217" i="1"/>
  <c r="O217" i="1" s="1"/>
  <c r="N205" i="1"/>
  <c r="O205" i="1" s="1"/>
  <c r="N193" i="1"/>
  <c r="O193" i="1" s="1"/>
  <c r="N181" i="1"/>
  <c r="O181" i="1" s="1"/>
  <c r="N157" i="1"/>
  <c r="O157" i="1" s="1"/>
  <c r="N145" i="1"/>
  <c r="O145" i="1" s="1"/>
  <c r="N121" i="1"/>
  <c r="O121" i="1" s="1"/>
  <c r="N97" i="1"/>
  <c r="O97" i="1" s="1"/>
  <c r="N85" i="1"/>
  <c r="O85" i="1" s="1"/>
  <c r="N73" i="1"/>
  <c r="O73" i="1" s="1"/>
  <c r="N61" i="1"/>
  <c r="O61" i="1" s="1"/>
  <c r="N49" i="1"/>
  <c r="O49" i="1" s="1"/>
  <c r="N25" i="1"/>
  <c r="O25" i="1" s="1"/>
  <c r="N13" i="1"/>
  <c r="O13" i="1" s="1"/>
  <c r="N177" i="1"/>
  <c r="O177" i="1" s="1"/>
  <c r="N188" i="1"/>
  <c r="O188" i="1" s="1"/>
  <c r="N176" i="1"/>
  <c r="O176" i="1" s="1"/>
  <c r="N20" i="1"/>
  <c r="O20" i="1" s="1"/>
  <c r="N139" i="1"/>
  <c r="O139" i="1" s="1"/>
  <c r="N103" i="1"/>
  <c r="O103" i="1" s="1"/>
  <c r="N43" i="1"/>
  <c r="O43" i="1" s="1"/>
  <c r="N222" i="1"/>
  <c r="O222" i="1" s="1"/>
  <c r="N186" i="1"/>
  <c r="O186" i="1" s="1"/>
  <c r="N150" i="1"/>
  <c r="O150" i="1" s="1"/>
  <c r="N54" i="1"/>
  <c r="O54" i="1" s="1"/>
  <c r="N18" i="1"/>
  <c r="O18" i="1" s="1"/>
  <c r="N173" i="1"/>
  <c r="O173" i="1" s="1"/>
  <c r="N137" i="1"/>
  <c r="O137" i="1" s="1"/>
  <c r="N101" i="1"/>
  <c r="O101" i="1" s="1"/>
  <c r="N65" i="1"/>
  <c r="O65" i="1" s="1"/>
  <c r="N17" i="1"/>
  <c r="O17" i="1" s="1"/>
  <c r="N184" i="1"/>
  <c r="O184" i="1" s="1"/>
  <c r="N148" i="1"/>
  <c r="O148" i="1" s="1"/>
  <c r="N64" i="1"/>
  <c r="O64" i="1" s="1"/>
  <c r="N16" i="1"/>
  <c r="O16" i="1" s="1"/>
  <c r="N87" i="1"/>
  <c r="O87" i="1" s="1"/>
  <c r="N51" i="1"/>
  <c r="O51" i="1" s="1"/>
  <c r="N27" i="1"/>
  <c r="O27" i="1" s="1"/>
  <c r="N182" i="1"/>
  <c r="O182" i="1" s="1"/>
  <c r="N158" i="1"/>
  <c r="O158" i="1" s="1"/>
  <c r="N38" i="1"/>
  <c r="O38" i="1" s="1"/>
  <c r="N14" i="1"/>
  <c r="O14" i="1" s="1"/>
  <c r="N216" i="1"/>
  <c r="O216" i="1" s="1"/>
  <c r="N204" i="1"/>
  <c r="O204" i="1" s="1"/>
  <c r="N192" i="1"/>
  <c r="O192" i="1" s="1"/>
  <c r="N180" i="1"/>
  <c r="O180" i="1" s="1"/>
  <c r="N156" i="1"/>
  <c r="O156" i="1" s="1"/>
  <c r="N144" i="1"/>
  <c r="O144" i="1" s="1"/>
  <c r="N132" i="1"/>
  <c r="O132" i="1" s="1"/>
  <c r="N120" i="1"/>
  <c r="O120" i="1" s="1"/>
  <c r="N96" i="1"/>
  <c r="O96" i="1" s="1"/>
  <c r="N84" i="1"/>
  <c r="O84" i="1" s="1"/>
  <c r="N72" i="1"/>
  <c r="O72" i="1" s="1"/>
  <c r="N60" i="1"/>
  <c r="O60" i="1" s="1"/>
  <c r="N36" i="1"/>
  <c r="O36" i="1" s="1"/>
  <c r="N24" i="1"/>
  <c r="O24" i="1" s="1"/>
  <c r="N213" i="1"/>
  <c r="O213" i="1" s="1"/>
  <c r="N189" i="1"/>
  <c r="O189" i="1" s="1"/>
  <c r="N93" i="1"/>
  <c r="O93" i="1" s="1"/>
  <c r="N127" i="1"/>
  <c r="O127" i="1" s="1"/>
  <c r="N115" i="1"/>
  <c r="O115" i="1" s="1"/>
  <c r="N7" i="1"/>
  <c r="O7" i="1" s="1"/>
  <c r="N162" i="1"/>
  <c r="O162" i="1" s="1"/>
  <c r="N66" i="1"/>
  <c r="O66" i="1" s="1"/>
  <c r="N6" i="1"/>
  <c r="O6" i="1" s="1"/>
  <c r="N185" i="1"/>
  <c r="O185" i="1" s="1"/>
  <c r="N149" i="1"/>
  <c r="O149" i="1" s="1"/>
  <c r="N29" i="1"/>
  <c r="O29" i="1" s="1"/>
  <c r="N196" i="1"/>
  <c r="O196" i="1" s="1"/>
  <c r="N160" i="1"/>
  <c r="O160" i="1" s="1"/>
  <c r="N40" i="1"/>
  <c r="O40" i="1" s="1"/>
  <c r="N183" i="1"/>
  <c r="O183" i="1" s="1"/>
  <c r="N159" i="1"/>
  <c r="O159" i="1" s="1"/>
  <c r="N99" i="1"/>
  <c r="O99" i="1" s="1"/>
  <c r="N15" i="1"/>
  <c r="O15" i="1" s="1"/>
  <c r="N146" i="1"/>
  <c r="O146" i="1" s="1"/>
  <c r="N110" i="1"/>
  <c r="O110" i="1" s="1"/>
  <c r="N62" i="1"/>
  <c r="O62" i="1" s="1"/>
  <c r="N2" i="1"/>
  <c r="O2" i="1" s="1"/>
  <c r="N215" i="1"/>
  <c r="O215" i="1" s="1"/>
  <c r="N203" i="1"/>
  <c r="O203" i="1" s="1"/>
  <c r="N191" i="1"/>
  <c r="O191" i="1" s="1"/>
  <c r="N179" i="1"/>
  <c r="O179" i="1" s="1"/>
  <c r="N155" i="1"/>
  <c r="O155" i="1" s="1"/>
  <c r="N143" i="1"/>
  <c r="O143" i="1" s="1"/>
  <c r="N95" i="1"/>
  <c r="O95" i="1" s="1"/>
  <c r="N83" i="1"/>
  <c r="O83" i="1" s="1"/>
  <c r="N71" i="1"/>
  <c r="O71" i="1" s="1"/>
  <c r="N59" i="1"/>
  <c r="O59" i="1" s="1"/>
  <c r="N23" i="1"/>
  <c r="O23" i="1" s="1"/>
  <c r="N11" i="1"/>
  <c r="O11" i="1" s="1"/>
  <c r="N153" i="1"/>
  <c r="O153" i="1" s="1"/>
  <c r="N141" i="1"/>
  <c r="O141" i="1" s="1"/>
  <c r="N200" i="1"/>
  <c r="O200" i="1" s="1"/>
  <c r="N116" i="1"/>
  <c r="O116" i="1" s="1"/>
  <c r="N92" i="1"/>
  <c r="O92" i="1" s="1"/>
  <c r="N223" i="1"/>
  <c r="O223" i="1" s="1"/>
  <c r="N79" i="1"/>
  <c r="O79" i="1" s="1"/>
  <c r="N31" i="1"/>
  <c r="O31" i="1" s="1"/>
  <c r="N210" i="1"/>
  <c r="O210" i="1" s="1"/>
  <c r="N138" i="1"/>
  <c r="O138" i="1" s="1"/>
  <c r="N90" i="1"/>
  <c r="O90" i="1" s="1"/>
  <c r="N30" i="1"/>
  <c r="O30" i="1" s="1"/>
  <c r="N52" i="1"/>
  <c r="O52" i="1" s="1"/>
  <c r="N4" i="1"/>
  <c r="O4" i="1" s="1"/>
  <c r="N195" i="1"/>
  <c r="O195" i="1" s="1"/>
  <c r="N214" i="1"/>
  <c r="O214" i="1" s="1"/>
  <c r="N190" i="1"/>
  <c r="O190" i="1" s="1"/>
  <c r="N166" i="1"/>
  <c r="O166" i="1" s="1"/>
  <c r="N154" i="1"/>
  <c r="O154" i="1" s="1"/>
  <c r="N142" i="1"/>
  <c r="O142" i="1" s="1"/>
  <c r="N130" i="1"/>
  <c r="O130" i="1" s="1"/>
  <c r="N94" i="1"/>
  <c r="O94" i="1" s="1"/>
  <c r="N82" i="1"/>
  <c r="O82" i="1" s="1"/>
  <c r="N58" i="1"/>
  <c r="O58" i="1" s="1"/>
  <c r="B4" i="7"/>
  <c r="D9" i="13" l="1"/>
  <c r="D36" i="13"/>
  <c r="D10" i="13"/>
  <c r="D53" i="13"/>
  <c r="D16" i="13"/>
  <c r="D24" i="13"/>
  <c r="B9" i="10"/>
  <c r="D27" i="13"/>
  <c r="D8" i="13"/>
  <c r="D7" i="13"/>
  <c r="D18" i="13"/>
  <c r="B12" i="10"/>
  <c r="D25" i="13"/>
  <c r="D40" i="13"/>
  <c r="D45" i="13"/>
  <c r="D5" i="13"/>
  <c r="D6" i="13"/>
  <c r="D50" i="13"/>
  <c r="D35" i="13"/>
  <c r="D31" i="13"/>
  <c r="D20" i="13"/>
  <c r="D46" i="13"/>
  <c r="B8" i="10"/>
  <c r="D4" i="13"/>
  <c r="D28" i="13"/>
  <c r="D11" i="13"/>
  <c r="D44" i="13"/>
  <c r="D23" i="13"/>
  <c r="D52" i="13"/>
  <c r="D47" i="13"/>
  <c r="D30" i="13"/>
  <c r="D49" i="13"/>
  <c r="D38" i="13"/>
  <c r="B18" i="10"/>
  <c r="D55" i="13"/>
  <c r="B35" i="10"/>
  <c r="D17" i="13"/>
  <c r="D42" i="13"/>
  <c r="B17" i="10"/>
  <c r="D34" i="13"/>
  <c r="D29" i="13"/>
  <c r="D54" i="13"/>
  <c r="D19" i="13"/>
  <c r="D32" i="13"/>
  <c r="D41" i="13"/>
  <c r="D43" i="13"/>
  <c r="D12" i="13"/>
  <c r="D13" i="13"/>
  <c r="D15" i="13"/>
  <c r="B25" i="10"/>
  <c r="D39" i="13"/>
  <c r="D33" i="13"/>
  <c r="D51" i="13"/>
  <c r="D21" i="13"/>
  <c r="B3" i="10"/>
  <c r="B16" i="10"/>
  <c r="D48" i="13"/>
  <c r="D3" i="13"/>
  <c r="D37" i="13"/>
  <c r="D26" i="13"/>
  <c r="B11" i="10"/>
  <c r="B6" i="10"/>
  <c r="B14" i="10"/>
  <c r="D22" i="13"/>
  <c r="O106" i="1"/>
  <c r="B4" i="10"/>
  <c r="B2" i="10"/>
  <c r="B23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avish</author>
  </authors>
  <commentList>
    <comment ref="H7" authorId="0" shapeId="0" xr:uid="{37F19829-795B-44A2-9FBB-85BAEFAE0AFF}">
      <text>
        <r>
          <rPr>
            <b/>
            <sz val="9"/>
            <color indexed="81"/>
            <rFont val="Tahoma"/>
            <family val="2"/>
          </rPr>
          <t>avish: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<sst xmlns="http://schemas.openxmlformats.org/spreadsheetml/2006/main" count="2884" uniqueCount="381">
  <si>
    <t>Tracking Number</t>
  </si>
  <si>
    <t>Service Type</t>
  </si>
  <si>
    <t>Status</t>
  </si>
  <si>
    <t>Sender's Location</t>
  </si>
  <si>
    <t>Receiver's Location</t>
  </si>
  <si>
    <t>Date of Transaction</t>
  </si>
  <si>
    <t>Transaction Amount</t>
  </si>
  <si>
    <t>Parcel weight</t>
  </si>
  <si>
    <t>Parcel type</t>
  </si>
  <si>
    <t>U32594092</t>
  </si>
  <si>
    <t>U32594093</t>
  </si>
  <si>
    <t>U32594094</t>
  </si>
  <si>
    <t>U32594095</t>
  </si>
  <si>
    <t>U32594096</t>
  </si>
  <si>
    <t>U32594097</t>
  </si>
  <si>
    <t>U32593938</t>
  </si>
  <si>
    <t>U32593939</t>
  </si>
  <si>
    <t>U32593948</t>
  </si>
  <si>
    <t>U32593949</t>
  </si>
  <si>
    <t>U32593950</t>
  </si>
  <si>
    <t>U32593951</t>
  </si>
  <si>
    <t>U32593952</t>
  </si>
  <si>
    <t>U32593953</t>
  </si>
  <si>
    <t>U32593954</t>
  </si>
  <si>
    <t>U32593955</t>
  </si>
  <si>
    <t>U32593956</t>
  </si>
  <si>
    <t>U32593957</t>
  </si>
  <si>
    <t>U32593958</t>
  </si>
  <si>
    <t>U32593959</t>
  </si>
  <si>
    <t>U32593960</t>
  </si>
  <si>
    <t>U32593961</t>
  </si>
  <si>
    <t>U32593962</t>
  </si>
  <si>
    <t>U32593963</t>
  </si>
  <si>
    <t>U32593964</t>
  </si>
  <si>
    <t>U32593965</t>
  </si>
  <si>
    <t>U32593966</t>
  </si>
  <si>
    <t>U32593967</t>
  </si>
  <si>
    <t>U32593968</t>
  </si>
  <si>
    <t>U32593969</t>
  </si>
  <si>
    <t>U32593970</t>
  </si>
  <si>
    <t>U32593971</t>
  </si>
  <si>
    <t>U32593972</t>
  </si>
  <si>
    <t>U32593973</t>
  </si>
  <si>
    <t>U32593974</t>
  </si>
  <si>
    <t>U32593975</t>
  </si>
  <si>
    <t>U32593976</t>
  </si>
  <si>
    <t>U32593977</t>
  </si>
  <si>
    <t>U32593978</t>
  </si>
  <si>
    <t>U32593979</t>
  </si>
  <si>
    <t>U32593980</t>
  </si>
  <si>
    <t>U32594040</t>
  </si>
  <si>
    <t>U32594041</t>
  </si>
  <si>
    <t>U32594042</t>
  </si>
  <si>
    <t>U32594043</t>
  </si>
  <si>
    <t>U32594044</t>
  </si>
  <si>
    <t>U32594073</t>
  </si>
  <si>
    <t>U32594074</t>
  </si>
  <si>
    <t>U32594075</t>
  </si>
  <si>
    <t>U32594076</t>
  </si>
  <si>
    <t>U32594077</t>
  </si>
  <si>
    <t>U32594078</t>
  </si>
  <si>
    <t>U32594079</t>
  </si>
  <si>
    <t>U32594080</t>
  </si>
  <si>
    <t>U32594081</t>
  </si>
  <si>
    <t>U32594082</t>
  </si>
  <si>
    <t>U32594083</t>
  </si>
  <si>
    <t>U32594084</t>
  </si>
  <si>
    <t>U32594085</t>
  </si>
  <si>
    <t>U32594086</t>
  </si>
  <si>
    <t>U32594087</t>
  </si>
  <si>
    <t>U32594088</t>
  </si>
  <si>
    <t>U32594089</t>
  </si>
  <si>
    <t>U32594090</t>
  </si>
  <si>
    <t>U32594091</t>
  </si>
  <si>
    <t>U32594098</t>
  </si>
  <si>
    <t>U32594099</t>
  </si>
  <si>
    <t>U32594100</t>
  </si>
  <si>
    <t>U32594101</t>
  </si>
  <si>
    <t>U32594102</t>
  </si>
  <si>
    <t>U32594103</t>
  </si>
  <si>
    <t>U32594104</t>
  </si>
  <si>
    <t>Kanpur</t>
  </si>
  <si>
    <t>Faridabad</t>
  </si>
  <si>
    <t>N.A.</t>
  </si>
  <si>
    <t>Date of Delivery</t>
  </si>
  <si>
    <t>Delivered</t>
  </si>
  <si>
    <t>Ghaziabad</t>
  </si>
  <si>
    <t>Bangalore</t>
  </si>
  <si>
    <t>Lucknow</t>
  </si>
  <si>
    <t>Delhi</t>
  </si>
  <si>
    <t>Noida</t>
  </si>
  <si>
    <t>Mumbai</t>
  </si>
  <si>
    <t>Gurgaon</t>
  </si>
  <si>
    <t>Udupi</t>
  </si>
  <si>
    <t>Clothes</t>
  </si>
  <si>
    <t>Empty Box</t>
  </si>
  <si>
    <t>Kolkata</t>
  </si>
  <si>
    <t>Pune</t>
  </si>
  <si>
    <t>Cup</t>
  </si>
  <si>
    <t>Sahibabad</t>
  </si>
  <si>
    <t>Gift</t>
  </si>
  <si>
    <t>Nagpur</t>
  </si>
  <si>
    <t>Bhilai</t>
  </si>
  <si>
    <t>Auraiya</t>
  </si>
  <si>
    <t>Returned</t>
  </si>
  <si>
    <t>Jhajjar</t>
  </si>
  <si>
    <t>Pooja Accessories</t>
  </si>
  <si>
    <t>Date of Return</t>
  </si>
  <si>
    <t>Standard</t>
  </si>
  <si>
    <t>U32593900</t>
  </si>
  <si>
    <t>U32593901</t>
  </si>
  <si>
    <t>U32593902</t>
  </si>
  <si>
    <t>U32593903</t>
  </si>
  <si>
    <t>U32593904</t>
  </si>
  <si>
    <t>U32593905</t>
  </si>
  <si>
    <t>U32593906</t>
  </si>
  <si>
    <t>U32593907</t>
  </si>
  <si>
    <t>U32593908</t>
  </si>
  <si>
    <t>U32593909</t>
  </si>
  <si>
    <t>U32593910</t>
  </si>
  <si>
    <t>U32593911</t>
  </si>
  <si>
    <t>U32593912</t>
  </si>
  <si>
    <t>U32593913</t>
  </si>
  <si>
    <t>U32593914</t>
  </si>
  <si>
    <t>U32593915</t>
  </si>
  <si>
    <t>U32593916</t>
  </si>
  <si>
    <t>U32593917</t>
  </si>
  <si>
    <t>U32593918</t>
  </si>
  <si>
    <t>U32593919</t>
  </si>
  <si>
    <t>Chennai</t>
  </si>
  <si>
    <t>Allahabad</t>
  </si>
  <si>
    <t>Hyderabad</t>
  </si>
  <si>
    <t>Dehradun</t>
  </si>
  <si>
    <t>Bijnor</t>
  </si>
  <si>
    <t>Varanasi</t>
  </si>
  <si>
    <t>Jodhpur</t>
  </si>
  <si>
    <t>Surat</t>
  </si>
  <si>
    <t>Bhopal</t>
  </si>
  <si>
    <t>Bilaspur</t>
  </si>
  <si>
    <t>V85940503</t>
  </si>
  <si>
    <t>Jabalpur</t>
  </si>
  <si>
    <t>Contact Lenses</t>
  </si>
  <si>
    <t>Express</t>
  </si>
  <si>
    <t>V85748819</t>
  </si>
  <si>
    <t>Phagwara</t>
  </si>
  <si>
    <t>V85748818</t>
  </si>
  <si>
    <t>Eatables</t>
  </si>
  <si>
    <t>D93994455</t>
  </si>
  <si>
    <t>Moga</t>
  </si>
  <si>
    <t>V85748817</t>
  </si>
  <si>
    <t>Original Degree</t>
  </si>
  <si>
    <t>Rayagada</t>
  </si>
  <si>
    <t>V85940501</t>
  </si>
  <si>
    <t>V85940502</t>
  </si>
  <si>
    <t>Alwar</t>
  </si>
  <si>
    <t>D93994451</t>
  </si>
  <si>
    <t>D93994452</t>
  </si>
  <si>
    <t>D93994453</t>
  </si>
  <si>
    <t>D93994454</t>
  </si>
  <si>
    <t>Curtains</t>
  </si>
  <si>
    <t>Jalandhar</t>
  </si>
  <si>
    <t>V85748809</t>
  </si>
  <si>
    <t>V85748810</t>
  </si>
  <si>
    <t>V85748811</t>
  </si>
  <si>
    <t>V85748812</t>
  </si>
  <si>
    <t>V85748813</t>
  </si>
  <si>
    <t>V85748814</t>
  </si>
  <si>
    <t>V85748815</t>
  </si>
  <si>
    <t>V85748816</t>
  </si>
  <si>
    <t>Passport</t>
  </si>
  <si>
    <t>Documents</t>
  </si>
  <si>
    <t>Baharaich</t>
  </si>
  <si>
    <t>Banda</t>
  </si>
  <si>
    <t>U32167711</t>
  </si>
  <si>
    <t>U32167712</t>
  </si>
  <si>
    <t>U32167713</t>
  </si>
  <si>
    <t>U32167714</t>
  </si>
  <si>
    <t>U32167715</t>
  </si>
  <si>
    <t>Forbesganj</t>
  </si>
  <si>
    <t>U32167771</t>
  </si>
  <si>
    <t>U32167772</t>
  </si>
  <si>
    <t>U32167773</t>
  </si>
  <si>
    <t>U32167774</t>
  </si>
  <si>
    <t>U32167775</t>
  </si>
  <si>
    <t>U32167776</t>
  </si>
  <si>
    <t>U32167777</t>
  </si>
  <si>
    <t>U32167778</t>
  </si>
  <si>
    <t>U32167779</t>
  </si>
  <si>
    <t>U32167780</t>
  </si>
  <si>
    <t>U32167781</t>
  </si>
  <si>
    <t>U32167782</t>
  </si>
  <si>
    <t>U32167783</t>
  </si>
  <si>
    <t>U32167784</t>
  </si>
  <si>
    <t>U32167785</t>
  </si>
  <si>
    <t>U32167786</t>
  </si>
  <si>
    <t>U32167787</t>
  </si>
  <si>
    <t>U32167788</t>
  </si>
  <si>
    <t>U32167789</t>
  </si>
  <si>
    <t>U32167790</t>
  </si>
  <si>
    <t>U32167791</t>
  </si>
  <si>
    <t>U32167792</t>
  </si>
  <si>
    <t>U32167793</t>
  </si>
  <si>
    <t>U32167794</t>
  </si>
  <si>
    <t>U32167795</t>
  </si>
  <si>
    <t>U32167796</t>
  </si>
  <si>
    <t>U32167797</t>
  </si>
  <si>
    <t>U32167798</t>
  </si>
  <si>
    <t>U32167799</t>
  </si>
  <si>
    <t>Jhansi</t>
  </si>
  <si>
    <t>Hardoi</t>
  </si>
  <si>
    <t>Cake Topper</t>
  </si>
  <si>
    <t>Swab</t>
  </si>
  <si>
    <t>Wallet</t>
  </si>
  <si>
    <t>U32167716</t>
  </si>
  <si>
    <t>Kannauj</t>
  </si>
  <si>
    <t>Shahjahanpur</t>
  </si>
  <si>
    <t>U32167717</t>
  </si>
  <si>
    <t>U32167718</t>
  </si>
  <si>
    <t>U32167719</t>
  </si>
  <si>
    <t>U32167720</t>
  </si>
  <si>
    <t>U32167721</t>
  </si>
  <si>
    <t>U32167722</t>
  </si>
  <si>
    <t>U32167723</t>
  </si>
  <si>
    <t>U32167724</t>
  </si>
  <si>
    <t>U32167725</t>
  </si>
  <si>
    <t>U32167726</t>
  </si>
  <si>
    <t>U32167727</t>
  </si>
  <si>
    <t>U32167728</t>
  </si>
  <si>
    <t>U32167729</t>
  </si>
  <si>
    <t>U32167730</t>
  </si>
  <si>
    <t>U32167731</t>
  </si>
  <si>
    <t>U32167732</t>
  </si>
  <si>
    <t>U32167733</t>
  </si>
  <si>
    <t>U32167734</t>
  </si>
  <si>
    <t>U32167735</t>
  </si>
  <si>
    <t>U32167736</t>
  </si>
  <si>
    <t>U32167737</t>
  </si>
  <si>
    <t>U32167738</t>
  </si>
  <si>
    <t>U32167739</t>
  </si>
  <si>
    <t>U32167740</t>
  </si>
  <si>
    <t>U32167741</t>
  </si>
  <si>
    <t>U32167742</t>
  </si>
  <si>
    <t>U32167743</t>
  </si>
  <si>
    <t>U32167744</t>
  </si>
  <si>
    <t>U32167745</t>
  </si>
  <si>
    <t>U32167746</t>
  </si>
  <si>
    <t>U32167747</t>
  </si>
  <si>
    <t>U32167748</t>
  </si>
  <si>
    <t>U32167749</t>
  </si>
  <si>
    <t>U32167750</t>
  </si>
  <si>
    <t>U32167751</t>
  </si>
  <si>
    <t>U32167752</t>
  </si>
  <si>
    <t>U32167753</t>
  </si>
  <si>
    <t>U32167754</t>
  </si>
  <si>
    <t>U32167755</t>
  </si>
  <si>
    <t>U32167756</t>
  </si>
  <si>
    <t>U32167757</t>
  </si>
  <si>
    <t>U32167758</t>
  </si>
  <si>
    <t>U32167759</t>
  </si>
  <si>
    <t>U32167760</t>
  </si>
  <si>
    <t>U32167761</t>
  </si>
  <si>
    <t>U32167762</t>
  </si>
  <si>
    <t>U32167763</t>
  </si>
  <si>
    <t>U32167764</t>
  </si>
  <si>
    <t>U32167765</t>
  </si>
  <si>
    <t>U32167766</t>
  </si>
  <si>
    <t>U32167767</t>
  </si>
  <si>
    <t>U32167768</t>
  </si>
  <si>
    <t>U32167769</t>
  </si>
  <si>
    <t>U32167770</t>
  </si>
  <si>
    <t>Agra</t>
  </si>
  <si>
    <t>Madurai</t>
  </si>
  <si>
    <t>Hair Kit</t>
  </si>
  <si>
    <t>Earphones</t>
  </si>
  <si>
    <t>Jadi Booti</t>
  </si>
  <si>
    <t>Ankleshwar</t>
  </si>
  <si>
    <t>Bulandeshwar</t>
  </si>
  <si>
    <t>Ranchi</t>
  </si>
  <si>
    <t>Trichy</t>
  </si>
  <si>
    <t>D93994456</t>
  </si>
  <si>
    <t>D93994457</t>
  </si>
  <si>
    <t>D93994458</t>
  </si>
  <si>
    <t>Katpadi</t>
  </si>
  <si>
    <t>D93994459</t>
  </si>
  <si>
    <t>D93994460</t>
  </si>
  <si>
    <t>D93994461</t>
  </si>
  <si>
    <t>Amritsar</t>
  </si>
  <si>
    <t>D93994462</t>
  </si>
  <si>
    <t>D93994463</t>
  </si>
  <si>
    <t>D93994464</t>
  </si>
  <si>
    <t>Aligarh</t>
  </si>
  <si>
    <t>D93994465</t>
  </si>
  <si>
    <t>D93994466</t>
  </si>
  <si>
    <t>D93994467</t>
  </si>
  <si>
    <t>D93994468</t>
  </si>
  <si>
    <t>Indore</t>
  </si>
  <si>
    <t>Patna</t>
  </si>
  <si>
    <t>Erode</t>
  </si>
  <si>
    <t>Sikar</t>
  </si>
  <si>
    <t>Gorakhpur</t>
  </si>
  <si>
    <t>V85940504</t>
  </si>
  <si>
    <t>V85940505</t>
  </si>
  <si>
    <t>V85940506</t>
  </si>
  <si>
    <t>V85940507</t>
  </si>
  <si>
    <t>V85940508</t>
  </si>
  <si>
    <t>V85940509</t>
  </si>
  <si>
    <t>V85940510</t>
  </si>
  <si>
    <t>V85940511</t>
  </si>
  <si>
    <t>V85940512</t>
  </si>
  <si>
    <t>V85940513</t>
  </si>
  <si>
    <t>V85940514</t>
  </si>
  <si>
    <t>V85940515</t>
  </si>
  <si>
    <t>Row Labels</t>
  </si>
  <si>
    <t>Grand Total</t>
  </si>
  <si>
    <t>More than 5 kgs</t>
  </si>
  <si>
    <t>Less than 5 kgs</t>
  </si>
  <si>
    <t>Month of Transaction</t>
  </si>
  <si>
    <t>October-2024</t>
  </si>
  <si>
    <t>Sum of Transaction Amount</t>
  </si>
  <si>
    <t xml:space="preserve">                                                                                                         Analysis of Monthly Revenue by Region</t>
  </si>
  <si>
    <t>Return Rate</t>
  </si>
  <si>
    <t>Total Transactions</t>
  </si>
  <si>
    <t>Column Labels</t>
  </si>
  <si>
    <t>Count of Status</t>
  </si>
  <si>
    <t>Delivered Parcels</t>
  </si>
  <si>
    <t>Returned Parcels</t>
  </si>
  <si>
    <t xml:space="preserve">                                                                                                         Analysis of Returned Parcels by Parcel Type</t>
  </si>
  <si>
    <t xml:space="preserve">                                                                                                         Analysis of Returned Parcels by Region</t>
  </si>
  <si>
    <t xml:space="preserve">                                                                                                         Analysis of Returned Parcels by Service Type</t>
  </si>
  <si>
    <t xml:space="preserve">                                                                                           Analysis of Returned Parcels</t>
  </si>
  <si>
    <t>Average Delivery Time</t>
  </si>
  <si>
    <t>On Time/Delayed</t>
  </si>
  <si>
    <t>Delayed</t>
  </si>
  <si>
    <t>Count of Tracking Number</t>
  </si>
  <si>
    <t>Delivery Time(Days)</t>
  </si>
  <si>
    <t>Average deivery Time(Days)</t>
  </si>
  <si>
    <t>Reciever's Location</t>
  </si>
  <si>
    <t>Total no. of parcels sent</t>
  </si>
  <si>
    <t>No.of delayed parcels</t>
  </si>
  <si>
    <t>Delay Rate</t>
  </si>
  <si>
    <t>Uttar Pradesh</t>
  </si>
  <si>
    <t>Rajasthan</t>
  </si>
  <si>
    <t>Punjab</t>
  </si>
  <si>
    <t>Gujarat</t>
  </si>
  <si>
    <t>Karnataka</t>
  </si>
  <si>
    <t>Chhattisgarh</t>
  </si>
  <si>
    <t>Madhya Pradesh</t>
  </si>
  <si>
    <t>Tamil Nadu</t>
  </si>
  <si>
    <t>Uttarakhand</t>
  </si>
  <si>
    <t>Delhi (UT)</t>
  </si>
  <si>
    <t>Haryana</t>
  </si>
  <si>
    <t>Bihar</t>
  </si>
  <si>
    <t>Telangana</t>
  </si>
  <si>
    <t>West Bengal</t>
  </si>
  <si>
    <t>Maharashtra</t>
  </si>
  <si>
    <t>Jharkhand</t>
  </si>
  <si>
    <t>Odisha</t>
  </si>
  <si>
    <t>Sum of No. of parcels sent</t>
  </si>
  <si>
    <t>No. of Parcels</t>
  </si>
  <si>
    <t>Sum of Average deivery Time(Days)</t>
  </si>
  <si>
    <t>Weekday</t>
  </si>
  <si>
    <t>Sunday</t>
  </si>
  <si>
    <t>Monday</t>
  </si>
  <si>
    <t>Tuesday</t>
  </si>
  <si>
    <t>Wednesday</t>
  </si>
  <si>
    <t>Thursday</t>
  </si>
  <si>
    <t>Friday</t>
  </si>
  <si>
    <t>Saturday</t>
  </si>
  <si>
    <t>Count of Weekday</t>
  </si>
  <si>
    <t>Average per Parcel</t>
  </si>
  <si>
    <t>Open_Route_Service_API_Results</t>
  </si>
  <si>
    <t>Destination</t>
  </si>
  <si>
    <t>Distance (km)</t>
  </si>
  <si>
    <t>Travel Time (hrs)</t>
  </si>
  <si>
    <t>~6.0</t>
  </si>
  <si>
    <t>Banglore</t>
  </si>
  <si>
    <t>~14.0</t>
  </si>
  <si>
    <t>~22.0</t>
  </si>
  <si>
    <t>~1.0</t>
  </si>
  <si>
    <t>On Time</t>
  </si>
  <si>
    <t>Delivered/Returned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</si>
</sst>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7"/>
      <color rgb="FFCE9178"/>
      <name val="Consolas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44">
    <xf numFmtId="0" fontId="0" fillId="0" borderId="0" xfId="0"/>
    <xf numFmtId="14" fontId="0" fillId="0" borderId="0" xfId="0" applyNumberFormat="1"/>
    <xf numFmtId="0" fontId="1" fillId="2" borderId="0" xfId="1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4" fontId="1" fillId="2" borderId="0" xfId="1" applyNumberFormat="1" applyFont="1" applyAlignment="1">
      <alignment horizontal="center" vertical="center"/>
    </xf>
    <xf numFmtId="0" fontId="0" fillId="3" borderId="0" xfId="0" applyFill="1"/>
    <xf numFmtId="0" fontId="4" fillId="3" borderId="0" xfId="0" applyFont="1" applyFill="1"/>
    <xf numFmtId="0" fontId="5" fillId="3" borderId="0" xfId="0" applyFont="1" applyFill="1"/>
    <xf numFmtId="0" fontId="1" fillId="0" borderId="0" xfId="0" applyFont="1"/>
    <xf numFmtId="0" fontId="0" fillId="4" borderId="0" xfId="0" applyFill="1"/>
    <xf numFmtId="0" fontId="1" fillId="5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" fillId="6" borderId="0" xfId="0" applyFont="1" applyFill="1" applyAlignment="1">
      <alignment horizontal="center" vertical="center"/>
    </xf>
    <xf numFmtId="1" fontId="0" fillId="0" borderId="0" xfId="0" applyNumberFormat="1"/>
    <xf numFmtId="0" fontId="1" fillId="7" borderId="0" xfId="0" applyFont="1" applyFill="1"/>
    <xf numFmtId="9" fontId="0" fillId="0" borderId="0" xfId="2" applyFont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0" fillId="0" borderId="1" xfId="0" applyBorder="1"/>
    <xf numFmtId="0" fontId="1" fillId="6" borderId="0" xfId="0" applyFont="1" applyFill="1"/>
    <xf numFmtId="9" fontId="1" fillId="6" borderId="0" xfId="2" applyFont="1" applyFill="1"/>
    <xf numFmtId="14" fontId="0" fillId="0" borderId="0" xfId="0" applyNumberFormat="1" applyAlignment="1">
      <alignment horizontal="left"/>
    </xf>
    <xf numFmtId="0" fontId="0" fillId="8" borderId="3" xfId="0" applyFill="1" applyBorder="1" applyAlignment="1">
      <alignment horizontal="left" indent="1"/>
    </xf>
    <xf numFmtId="0" fontId="0" fillId="9" borderId="3" xfId="0" applyFill="1" applyBorder="1" applyAlignment="1">
      <alignment horizontal="left" indent="1"/>
    </xf>
    <xf numFmtId="10" fontId="0" fillId="0" borderId="2" xfId="0" applyNumberFormat="1" applyBorder="1"/>
    <xf numFmtId="10" fontId="0" fillId="0" borderId="3" xfId="0" applyNumberFormat="1" applyBorder="1"/>
    <xf numFmtId="10" fontId="0" fillId="8" borderId="3" xfId="0" applyNumberFormat="1" applyFill="1" applyBorder="1"/>
    <xf numFmtId="10" fontId="0" fillId="9" borderId="3" xfId="0" applyNumberFormat="1" applyFill="1" applyBorder="1"/>
    <xf numFmtId="10" fontId="0" fillId="0" borderId="4" xfId="0" applyNumberFormat="1" applyBorder="1"/>
    <xf numFmtId="0" fontId="1" fillId="10" borderId="0" xfId="0" applyFont="1" applyFill="1"/>
    <xf numFmtId="0" fontId="0" fillId="7" borderId="0" xfId="0" applyFill="1"/>
    <xf numFmtId="0" fontId="6" fillId="0" borderId="0" xfId="0" applyFont="1" applyAlignment="1">
      <alignment vertical="center"/>
    </xf>
    <xf numFmtId="0" fontId="1" fillId="10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2" fontId="0" fillId="0" borderId="5" xfId="0" applyNumberFormat="1" applyBorder="1" applyAlignment="1">
      <alignment vertical="center" wrapText="1"/>
    </xf>
    <xf numFmtId="0" fontId="0" fillId="11" borderId="5" xfId="0" applyFill="1" applyBorder="1"/>
    <xf numFmtId="0" fontId="0" fillId="0" borderId="3" xfId="0" applyFill="1" applyBorder="1" applyAlignment="1">
      <alignment horizontal="left" indent="1"/>
    </xf>
    <xf numFmtId="10" fontId="0" fillId="0" borderId="3" xfId="0" applyNumberFormat="1" applyFill="1" applyBorder="1"/>
  </cellXfs>
  <cellStyles count="3">
    <cellStyle name="40% - Accent1" xfId="1" builtinId="31"/>
    <cellStyle name="Normal" xfId="0" builtinId="0"/>
    <cellStyle name="Percent" xfId="2" builtinId="5"/>
  </cellStyles>
  <dxfs count="23">
    <dxf>
      <numFmt numFmtId="14" formatCode="0.00%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&quot;₹&quot;\ #,##0.00"/>
    </dxf>
  </dxfs>
  <tableStyles count="0" defaultTableStyle="TableStyleMedium2" defaultPivotStyle="PivotStyleLight16"/>
  <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pivotCacheDefinition" Target="pivotCache/pivotCacheDefinition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pivotCacheDefinition" Target="pivotCache/pivotCacheDefinition6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[dtdc_data.xlsx]problem statement_1!PivotTable2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'problem statement_1'!$B$3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'problem statement_1'!$A$4:$A$58</c:f>
              <c:multiLvlStrCache>
                <c:ptCount val="53"/>
                <c:lvl>
                  <c:pt idx="0">
                    <c:v>Agra</c:v>
                  </c:pt>
                  <c:pt idx="1">
                    <c:v>Aligarh</c:v>
                  </c:pt>
                  <c:pt idx="2">
                    <c:v>Allahabad</c:v>
                  </c:pt>
                  <c:pt idx="3">
                    <c:v>Alwar</c:v>
                  </c:pt>
                  <c:pt idx="4">
                    <c:v>Amritsar</c:v>
                  </c:pt>
                  <c:pt idx="5">
                    <c:v>Ankleshwar</c:v>
                  </c:pt>
                  <c:pt idx="6">
                    <c:v>Auraiya</c:v>
                  </c:pt>
                  <c:pt idx="7">
                    <c:v>Baharaich</c:v>
                  </c:pt>
                  <c:pt idx="8">
                    <c:v>Banda</c:v>
                  </c:pt>
                  <c:pt idx="9">
                    <c:v>Bangalore</c:v>
                  </c:pt>
                  <c:pt idx="10">
                    <c:v>Bhilai</c:v>
                  </c:pt>
                  <c:pt idx="11">
                    <c:v>Bhopal</c:v>
                  </c:pt>
                  <c:pt idx="12">
                    <c:v>Bijnor</c:v>
                  </c:pt>
                  <c:pt idx="13">
                    <c:v>Bilaspur</c:v>
                  </c:pt>
                  <c:pt idx="14">
                    <c:v>Bulandeshwar</c:v>
                  </c:pt>
                  <c:pt idx="15">
                    <c:v>Chennai</c:v>
                  </c:pt>
                  <c:pt idx="16">
                    <c:v>Dehradun</c:v>
                  </c:pt>
                  <c:pt idx="17">
                    <c:v>Delhi</c:v>
                  </c:pt>
                  <c:pt idx="18">
                    <c:v>Erode</c:v>
                  </c:pt>
                  <c:pt idx="19">
                    <c:v>Faridabad</c:v>
                  </c:pt>
                  <c:pt idx="20">
                    <c:v>Forbesganj</c:v>
                  </c:pt>
                  <c:pt idx="21">
                    <c:v>Ghaziabad</c:v>
                  </c:pt>
                  <c:pt idx="22">
                    <c:v>Gorakhpur</c:v>
                  </c:pt>
                  <c:pt idx="23">
                    <c:v>Gurgaon</c:v>
                  </c:pt>
                  <c:pt idx="24">
                    <c:v>Hardoi</c:v>
                  </c:pt>
                  <c:pt idx="25">
                    <c:v>Hyderabad</c:v>
                  </c:pt>
                  <c:pt idx="26">
                    <c:v>Indore</c:v>
                  </c:pt>
                  <c:pt idx="27">
                    <c:v>Jabalpur</c:v>
                  </c:pt>
                  <c:pt idx="28">
                    <c:v>Jalandhar</c:v>
                  </c:pt>
                  <c:pt idx="29">
                    <c:v>Jhajjar</c:v>
                  </c:pt>
                  <c:pt idx="30">
                    <c:v>Jhansi</c:v>
                  </c:pt>
                  <c:pt idx="31">
                    <c:v>Jodhpur</c:v>
                  </c:pt>
                  <c:pt idx="32">
                    <c:v>Kannauj</c:v>
                  </c:pt>
                  <c:pt idx="33">
                    <c:v>Katpadi</c:v>
                  </c:pt>
                  <c:pt idx="34">
                    <c:v>Kolkata</c:v>
                  </c:pt>
                  <c:pt idx="35">
                    <c:v>Lucknow</c:v>
                  </c:pt>
                  <c:pt idx="36">
                    <c:v>Madurai</c:v>
                  </c:pt>
                  <c:pt idx="37">
                    <c:v>Moga</c:v>
                  </c:pt>
                  <c:pt idx="38">
                    <c:v>Mumbai</c:v>
                  </c:pt>
                  <c:pt idx="39">
                    <c:v>Nagpur</c:v>
                  </c:pt>
                  <c:pt idx="40">
                    <c:v>Noida</c:v>
                  </c:pt>
                  <c:pt idx="41">
                    <c:v>Patna</c:v>
                  </c:pt>
                  <c:pt idx="42">
                    <c:v>Phagwara</c:v>
                  </c:pt>
                  <c:pt idx="43">
                    <c:v>Pune</c:v>
                  </c:pt>
                  <c:pt idx="44">
                    <c:v>Ranchi</c:v>
                  </c:pt>
                  <c:pt idx="45">
                    <c:v>Rayagada</c:v>
                  </c:pt>
                  <c:pt idx="46">
                    <c:v>Sahibabad</c:v>
                  </c:pt>
                  <c:pt idx="47">
                    <c:v>Shahjahanpur</c:v>
                  </c:pt>
                  <c:pt idx="48">
                    <c:v>Sikar</c:v>
                  </c:pt>
                  <c:pt idx="49">
                    <c:v>Surat</c:v>
                  </c:pt>
                  <c:pt idx="50">
                    <c:v>Trichy</c:v>
                  </c:pt>
                  <c:pt idx="51">
                    <c:v>Udupi</c:v>
                  </c:pt>
                  <c:pt idx="52">
                    <c:v>Varanasi</c:v>
                  </c:pt>
                </c:lvl>
                <c:lvl>
                  <c:pt idx="0">
                    <c:v>October-2024</c:v>
                  </c:pt>
                </c:lvl>
              </c:multiLvlStrCache>
            </c:multiLvlStrRef>
          </c:cat>
          <c:val>
            <c:numRef>
              <c:f>'problem statement_1'!$B$4:$B$58</c:f>
              <c:numCache>
                <c:formatCode>0.00%</c:formatCode>
                <c:ptCount val="53"/>
                <c:pt idx="0">
                  <c:v>5.8081495598511666E-3</c:v>
                </c:pt>
                <c:pt idx="1">
                  <c:v>1.905799074326164E-2</c:v>
                </c:pt>
                <c:pt idx="2">
                  <c:v>1.5064887920863962E-2</c:v>
                </c:pt>
                <c:pt idx="3">
                  <c:v>6.3526635810872128E-3</c:v>
                </c:pt>
                <c:pt idx="4">
                  <c:v>8.1677103185407024E-3</c:v>
                </c:pt>
                <c:pt idx="5">
                  <c:v>4.5376168436337232E-3</c:v>
                </c:pt>
                <c:pt idx="6">
                  <c:v>3.8115981486523277E-3</c:v>
                </c:pt>
                <c:pt idx="7">
                  <c:v>4.9006261911244218E-3</c:v>
                </c:pt>
                <c:pt idx="8">
                  <c:v>1.7605953353298849E-2</c:v>
                </c:pt>
                <c:pt idx="9">
                  <c:v>0.10781377620473727</c:v>
                </c:pt>
                <c:pt idx="10">
                  <c:v>2.722570106180234E-3</c:v>
                </c:pt>
                <c:pt idx="11">
                  <c:v>9.8012523822488436E-3</c:v>
                </c:pt>
                <c:pt idx="12">
                  <c:v>1.9965514111988385E-3</c:v>
                </c:pt>
                <c:pt idx="13">
                  <c:v>4.3561121698883747E-3</c:v>
                </c:pt>
                <c:pt idx="14">
                  <c:v>2.722570106180234E-3</c:v>
                </c:pt>
                <c:pt idx="15">
                  <c:v>8.7122243397767495E-3</c:v>
                </c:pt>
                <c:pt idx="16">
                  <c:v>1.7605953353298849E-2</c:v>
                </c:pt>
                <c:pt idx="17">
                  <c:v>0.15110264089300299</c:v>
                </c:pt>
                <c:pt idx="18">
                  <c:v>9.8012523822488436E-3</c:v>
                </c:pt>
                <c:pt idx="19">
                  <c:v>2.5410654324348851E-3</c:v>
                </c:pt>
                <c:pt idx="20">
                  <c:v>6.3526635810872128E-3</c:v>
                </c:pt>
                <c:pt idx="21">
                  <c:v>5.5903439513567472E-2</c:v>
                </c:pt>
                <c:pt idx="22">
                  <c:v>4.3561121698883747E-3</c:v>
                </c:pt>
                <c:pt idx="23">
                  <c:v>1.905799074326164E-2</c:v>
                </c:pt>
                <c:pt idx="24">
                  <c:v>1.6335420637081405E-3</c:v>
                </c:pt>
                <c:pt idx="25">
                  <c:v>2.2688084218168619E-2</c:v>
                </c:pt>
                <c:pt idx="26">
                  <c:v>2.4503130955622107E-2</c:v>
                </c:pt>
                <c:pt idx="27">
                  <c:v>7.0786822760686091E-3</c:v>
                </c:pt>
                <c:pt idx="28">
                  <c:v>2.7951719756783736E-2</c:v>
                </c:pt>
                <c:pt idx="29">
                  <c:v>6.5341682548325621E-3</c:v>
                </c:pt>
                <c:pt idx="30">
                  <c:v>1.6335420637081405E-3</c:v>
                </c:pt>
                <c:pt idx="31">
                  <c:v>2.722570106180234E-3</c:v>
                </c:pt>
                <c:pt idx="32">
                  <c:v>2.722570106180234E-3</c:v>
                </c:pt>
                <c:pt idx="33">
                  <c:v>1.2886831835919776E-2</c:v>
                </c:pt>
                <c:pt idx="34">
                  <c:v>1.3975859878391868E-2</c:v>
                </c:pt>
                <c:pt idx="35">
                  <c:v>9.9646065886196566E-2</c:v>
                </c:pt>
                <c:pt idx="36">
                  <c:v>1.9965514111988385E-3</c:v>
                </c:pt>
                <c:pt idx="37">
                  <c:v>1.5246392594609311E-2</c:v>
                </c:pt>
                <c:pt idx="38">
                  <c:v>5.7899990924766311E-2</c:v>
                </c:pt>
                <c:pt idx="39">
                  <c:v>1.1797803793447682E-2</c:v>
                </c:pt>
                <c:pt idx="40">
                  <c:v>6.9153280696977945E-2</c:v>
                </c:pt>
                <c:pt idx="41">
                  <c:v>2.0873037480715128E-2</c:v>
                </c:pt>
                <c:pt idx="42">
                  <c:v>2.2688084218168619E-2</c:v>
                </c:pt>
                <c:pt idx="43">
                  <c:v>3.0492785189218621E-2</c:v>
                </c:pt>
                <c:pt idx="44">
                  <c:v>6.3526635810872128E-3</c:v>
                </c:pt>
                <c:pt idx="45">
                  <c:v>7.0786822760686091E-3</c:v>
                </c:pt>
                <c:pt idx="46">
                  <c:v>2.722570106180234E-3</c:v>
                </c:pt>
                <c:pt idx="47">
                  <c:v>2.1780560849441874E-3</c:v>
                </c:pt>
                <c:pt idx="48">
                  <c:v>7.0786822760686091E-3</c:v>
                </c:pt>
                <c:pt idx="49">
                  <c:v>1.0527271077230239E-2</c:v>
                </c:pt>
                <c:pt idx="50">
                  <c:v>3.8115981486523277E-3</c:v>
                </c:pt>
                <c:pt idx="51">
                  <c:v>8.7122243397767495E-3</c:v>
                </c:pt>
                <c:pt idx="52">
                  <c:v>7.2601869498139576E-3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7-4276-8A23-2C6413EED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68271"/>
        <c:axId val="158535199"/>
      </c:barChart>
      <c:catAx>
        <c:axId val="55526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535199"/>
        <c:crosses val="autoZero"/>
        <c:auto val="1"/>
        <c:lblAlgn val="ctr"/>
        <c:lblOffset val="100"/>
        <c:noMultiLvlLbl val="0"/>
      </c:catAx>
      <c:valAx>
        <c:axId val="15853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26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[dtdc_data.xlsx]problem_statement_2.2!PivotTable2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problem_statement_2.2!$B$3:$B$4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problem_statement_2.2!$A$5:$A$23</c:f>
              <c:strCache>
                <c:ptCount val="18"/>
                <c:pt idx="0">
                  <c:v>Cake Topper</c:v>
                </c:pt>
                <c:pt idx="1">
                  <c:v>Clothes</c:v>
                </c:pt>
                <c:pt idx="2">
                  <c:v>Contact Lenses</c:v>
                </c:pt>
                <c:pt idx="3">
                  <c:v>Cup</c:v>
                </c:pt>
                <c:pt idx="4">
                  <c:v>Curtains</c:v>
                </c:pt>
                <c:pt idx="5">
                  <c:v>Documents</c:v>
                </c:pt>
                <c:pt idx="6">
                  <c:v>Earphones</c:v>
                </c:pt>
                <c:pt idx="7">
                  <c:v>Eatables</c:v>
                </c:pt>
                <c:pt idx="8">
                  <c:v>Empty Box</c:v>
                </c:pt>
                <c:pt idx="9">
                  <c:v>Gift</c:v>
                </c:pt>
                <c:pt idx="10">
                  <c:v>Hair Kit</c:v>
                </c:pt>
                <c:pt idx="11">
                  <c:v>Jadi Booti</c:v>
                </c:pt>
                <c:pt idx="12">
                  <c:v>N.A.</c:v>
                </c:pt>
                <c:pt idx="13">
                  <c:v>Original Degree</c:v>
                </c:pt>
                <c:pt idx="14">
                  <c:v>Passport</c:v>
                </c:pt>
                <c:pt idx="15">
                  <c:v>Pooja Accessories</c:v>
                </c:pt>
                <c:pt idx="16">
                  <c:v>Swab</c:v>
                </c:pt>
                <c:pt idx="17">
                  <c:v>Wallet</c:v>
                </c:pt>
              </c:strCache>
            </c:strRef>
          </c:cat>
          <c:val>
            <c:numRef>
              <c:f>problem_statement_2.2!$B$5:$B$23</c:f>
              <c:numCache>
                <c:formatCode>0.00%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0.98958333333333337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F-4868-A608-9CD087D3AED4}"/>
            </c:ext>
          </c:extLst>
        </c:ser>
        <c:ser>
          <c:idx val="1"/>
          <c:order val="1"/>
          <c:tx>
            <c:strRef>
              <c:f>problem_statement_2.2!$C$3:$C$4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problem_statement_2.2!$A$5:$A$23</c:f>
              <c:strCache>
                <c:ptCount val="18"/>
                <c:pt idx="0">
                  <c:v>Cake Topper</c:v>
                </c:pt>
                <c:pt idx="1">
                  <c:v>Clothes</c:v>
                </c:pt>
                <c:pt idx="2">
                  <c:v>Contact Lenses</c:v>
                </c:pt>
                <c:pt idx="3">
                  <c:v>Cup</c:v>
                </c:pt>
                <c:pt idx="4">
                  <c:v>Curtains</c:v>
                </c:pt>
                <c:pt idx="5">
                  <c:v>Documents</c:v>
                </c:pt>
                <c:pt idx="6">
                  <c:v>Earphones</c:v>
                </c:pt>
                <c:pt idx="7">
                  <c:v>Eatables</c:v>
                </c:pt>
                <c:pt idx="8">
                  <c:v>Empty Box</c:v>
                </c:pt>
                <c:pt idx="9">
                  <c:v>Gift</c:v>
                </c:pt>
                <c:pt idx="10">
                  <c:v>Hair Kit</c:v>
                </c:pt>
                <c:pt idx="11">
                  <c:v>Jadi Booti</c:v>
                </c:pt>
                <c:pt idx="12">
                  <c:v>N.A.</c:v>
                </c:pt>
                <c:pt idx="13">
                  <c:v>Original Degree</c:v>
                </c:pt>
                <c:pt idx="14">
                  <c:v>Passport</c:v>
                </c:pt>
                <c:pt idx="15">
                  <c:v>Pooja Accessories</c:v>
                </c:pt>
                <c:pt idx="16">
                  <c:v>Swab</c:v>
                </c:pt>
                <c:pt idx="17">
                  <c:v>Wallet</c:v>
                </c:pt>
              </c:strCache>
            </c:strRef>
          </c:cat>
          <c:val>
            <c:numRef>
              <c:f>problem_statement_2.2!$C$5:$C$23</c:f>
              <c:numCache>
                <c:formatCode>0.00%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1.0416666666666666E-2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EF-4868-A608-9CD087D3A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827712"/>
        <c:axId val="793022336"/>
      </c:barChart>
      <c:catAx>
        <c:axId val="112782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022336"/>
        <c:crosses val="autoZero"/>
        <c:auto val="1"/>
        <c:lblAlgn val="ctr"/>
        <c:lblOffset val="100"/>
        <c:noMultiLvlLbl val="0"/>
      </c:catAx>
      <c:valAx>
        <c:axId val="79302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82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AEE-4275-BA78-CE1CA438F6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AEE-4275-BA78-CE1CA438F6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problem_statement_2.0!$A$3:$A$4</c:f>
              <c:strCache>
                <c:ptCount val="2"/>
                <c:pt idx="0">
                  <c:v>Returned Parcels</c:v>
                </c:pt>
                <c:pt idx="1">
                  <c:v>Delivered Parcels</c:v>
                </c:pt>
              </c:strCache>
            </c:strRef>
          </c:cat>
          <c:val>
            <c:numRef>
              <c:f>problem_statement_2.0!$B$3:$B$4</c:f>
              <c:numCache>
                <c:formatCode>General</c:formatCode>
                <c:ptCount val="2"/>
                <c:pt idx="0">
                  <c:v>2</c:v>
                </c:pt>
                <c:pt idx="1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2-4D72-BABE-E59FD0CAA2BC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[dtdc_data.xlsx]problem_statement_2.1!PivotTable3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problem_statement_2.1!$B$3:$B$4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problem_statement_2.1!$A$5:$A$58</c:f>
              <c:strCache>
                <c:ptCount val="53"/>
                <c:pt idx="0">
                  <c:v>Agra</c:v>
                </c:pt>
                <c:pt idx="1">
                  <c:v>Aligarh</c:v>
                </c:pt>
                <c:pt idx="2">
                  <c:v>Allahabad</c:v>
                </c:pt>
                <c:pt idx="3">
                  <c:v>Alwar</c:v>
                </c:pt>
                <c:pt idx="4">
                  <c:v>Amritsar</c:v>
                </c:pt>
                <c:pt idx="5">
                  <c:v>Ankleshwar</c:v>
                </c:pt>
                <c:pt idx="6">
                  <c:v>Auraiya</c:v>
                </c:pt>
                <c:pt idx="7">
                  <c:v>Baharaich</c:v>
                </c:pt>
                <c:pt idx="8">
                  <c:v>Banda</c:v>
                </c:pt>
                <c:pt idx="9">
                  <c:v>Bangalore</c:v>
                </c:pt>
                <c:pt idx="10">
                  <c:v>Bhilai</c:v>
                </c:pt>
                <c:pt idx="11">
                  <c:v>Bhopal</c:v>
                </c:pt>
                <c:pt idx="12">
                  <c:v>Bijnor</c:v>
                </c:pt>
                <c:pt idx="13">
                  <c:v>Bilaspur</c:v>
                </c:pt>
                <c:pt idx="14">
                  <c:v>Bulandeshwar</c:v>
                </c:pt>
                <c:pt idx="15">
                  <c:v>Chennai</c:v>
                </c:pt>
                <c:pt idx="16">
                  <c:v>Dehradun</c:v>
                </c:pt>
                <c:pt idx="17">
                  <c:v>Delhi</c:v>
                </c:pt>
                <c:pt idx="18">
                  <c:v>Erode</c:v>
                </c:pt>
                <c:pt idx="19">
                  <c:v>Faridabad</c:v>
                </c:pt>
                <c:pt idx="20">
                  <c:v>Forbesganj</c:v>
                </c:pt>
                <c:pt idx="21">
                  <c:v>Ghaziabad</c:v>
                </c:pt>
                <c:pt idx="22">
                  <c:v>Gorakhpur</c:v>
                </c:pt>
                <c:pt idx="23">
                  <c:v>Gurgaon</c:v>
                </c:pt>
                <c:pt idx="24">
                  <c:v>Hardoi</c:v>
                </c:pt>
                <c:pt idx="25">
                  <c:v>Hyderabad</c:v>
                </c:pt>
                <c:pt idx="26">
                  <c:v>Indore</c:v>
                </c:pt>
                <c:pt idx="27">
                  <c:v>Jabalpur</c:v>
                </c:pt>
                <c:pt idx="28">
                  <c:v>Jalandhar</c:v>
                </c:pt>
                <c:pt idx="29">
                  <c:v>Jhajjar</c:v>
                </c:pt>
                <c:pt idx="30">
                  <c:v>Jhansi</c:v>
                </c:pt>
                <c:pt idx="31">
                  <c:v>Jodhpur</c:v>
                </c:pt>
                <c:pt idx="32">
                  <c:v>Kannauj</c:v>
                </c:pt>
                <c:pt idx="33">
                  <c:v>Katpadi</c:v>
                </c:pt>
                <c:pt idx="34">
                  <c:v>Kolkata</c:v>
                </c:pt>
                <c:pt idx="35">
                  <c:v>Lucknow</c:v>
                </c:pt>
                <c:pt idx="36">
                  <c:v>Madurai</c:v>
                </c:pt>
                <c:pt idx="37">
                  <c:v>Moga</c:v>
                </c:pt>
                <c:pt idx="38">
                  <c:v>Mumbai</c:v>
                </c:pt>
                <c:pt idx="39">
                  <c:v>Nagpur</c:v>
                </c:pt>
                <c:pt idx="40">
                  <c:v>Noida</c:v>
                </c:pt>
                <c:pt idx="41">
                  <c:v>Patna</c:v>
                </c:pt>
                <c:pt idx="42">
                  <c:v>Phagwara</c:v>
                </c:pt>
                <c:pt idx="43">
                  <c:v>Pune</c:v>
                </c:pt>
                <c:pt idx="44">
                  <c:v>Ranchi</c:v>
                </c:pt>
                <c:pt idx="45">
                  <c:v>Rayagada</c:v>
                </c:pt>
                <c:pt idx="46">
                  <c:v>Sahibabad</c:v>
                </c:pt>
                <c:pt idx="47">
                  <c:v>Shahjahanpur</c:v>
                </c:pt>
                <c:pt idx="48">
                  <c:v>Sikar</c:v>
                </c:pt>
                <c:pt idx="49">
                  <c:v>Surat</c:v>
                </c:pt>
                <c:pt idx="50">
                  <c:v>Trichy</c:v>
                </c:pt>
                <c:pt idx="51">
                  <c:v>Udupi</c:v>
                </c:pt>
                <c:pt idx="52">
                  <c:v>Varanasi</c:v>
                </c:pt>
              </c:strCache>
            </c:strRef>
          </c:cat>
          <c:val>
            <c:numRef>
              <c:f>problem_statement_2.1!$B$5:$B$58</c:f>
              <c:numCache>
                <c:formatCode>0.00%</c:formatCode>
                <c:ptCount val="5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0.94736842105263153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F-43A6-BC84-54508F1C9FA2}"/>
            </c:ext>
          </c:extLst>
        </c:ser>
        <c:ser>
          <c:idx val="1"/>
          <c:order val="1"/>
          <c:tx>
            <c:strRef>
              <c:f>problem_statement_2.1!$C$3:$C$4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problem_statement_2.1!$A$5:$A$58</c:f>
              <c:strCache>
                <c:ptCount val="53"/>
                <c:pt idx="0">
                  <c:v>Agra</c:v>
                </c:pt>
                <c:pt idx="1">
                  <c:v>Aligarh</c:v>
                </c:pt>
                <c:pt idx="2">
                  <c:v>Allahabad</c:v>
                </c:pt>
                <c:pt idx="3">
                  <c:v>Alwar</c:v>
                </c:pt>
                <c:pt idx="4">
                  <c:v>Amritsar</c:v>
                </c:pt>
                <c:pt idx="5">
                  <c:v>Ankleshwar</c:v>
                </c:pt>
                <c:pt idx="6">
                  <c:v>Auraiya</c:v>
                </c:pt>
                <c:pt idx="7">
                  <c:v>Baharaich</c:v>
                </c:pt>
                <c:pt idx="8">
                  <c:v>Banda</c:v>
                </c:pt>
                <c:pt idx="9">
                  <c:v>Bangalore</c:v>
                </c:pt>
                <c:pt idx="10">
                  <c:v>Bhilai</c:v>
                </c:pt>
                <c:pt idx="11">
                  <c:v>Bhopal</c:v>
                </c:pt>
                <c:pt idx="12">
                  <c:v>Bijnor</c:v>
                </c:pt>
                <c:pt idx="13">
                  <c:v>Bilaspur</c:v>
                </c:pt>
                <c:pt idx="14">
                  <c:v>Bulandeshwar</c:v>
                </c:pt>
                <c:pt idx="15">
                  <c:v>Chennai</c:v>
                </c:pt>
                <c:pt idx="16">
                  <c:v>Dehradun</c:v>
                </c:pt>
                <c:pt idx="17">
                  <c:v>Delhi</c:v>
                </c:pt>
                <c:pt idx="18">
                  <c:v>Erode</c:v>
                </c:pt>
                <c:pt idx="19">
                  <c:v>Faridabad</c:v>
                </c:pt>
                <c:pt idx="20">
                  <c:v>Forbesganj</c:v>
                </c:pt>
                <c:pt idx="21">
                  <c:v>Ghaziabad</c:v>
                </c:pt>
                <c:pt idx="22">
                  <c:v>Gorakhpur</c:v>
                </c:pt>
                <c:pt idx="23">
                  <c:v>Gurgaon</c:v>
                </c:pt>
                <c:pt idx="24">
                  <c:v>Hardoi</c:v>
                </c:pt>
                <c:pt idx="25">
                  <c:v>Hyderabad</c:v>
                </c:pt>
                <c:pt idx="26">
                  <c:v>Indore</c:v>
                </c:pt>
                <c:pt idx="27">
                  <c:v>Jabalpur</c:v>
                </c:pt>
                <c:pt idx="28">
                  <c:v>Jalandhar</c:v>
                </c:pt>
                <c:pt idx="29">
                  <c:v>Jhajjar</c:v>
                </c:pt>
                <c:pt idx="30">
                  <c:v>Jhansi</c:v>
                </c:pt>
                <c:pt idx="31">
                  <c:v>Jodhpur</c:v>
                </c:pt>
                <c:pt idx="32">
                  <c:v>Kannauj</c:v>
                </c:pt>
                <c:pt idx="33">
                  <c:v>Katpadi</c:v>
                </c:pt>
                <c:pt idx="34">
                  <c:v>Kolkata</c:v>
                </c:pt>
                <c:pt idx="35">
                  <c:v>Lucknow</c:v>
                </c:pt>
                <c:pt idx="36">
                  <c:v>Madurai</c:v>
                </c:pt>
                <c:pt idx="37">
                  <c:v>Moga</c:v>
                </c:pt>
                <c:pt idx="38">
                  <c:v>Mumbai</c:v>
                </c:pt>
                <c:pt idx="39">
                  <c:v>Nagpur</c:v>
                </c:pt>
                <c:pt idx="40">
                  <c:v>Noida</c:v>
                </c:pt>
                <c:pt idx="41">
                  <c:v>Patna</c:v>
                </c:pt>
                <c:pt idx="42">
                  <c:v>Phagwara</c:v>
                </c:pt>
                <c:pt idx="43">
                  <c:v>Pune</c:v>
                </c:pt>
                <c:pt idx="44">
                  <c:v>Ranchi</c:v>
                </c:pt>
                <c:pt idx="45">
                  <c:v>Rayagada</c:v>
                </c:pt>
                <c:pt idx="46">
                  <c:v>Sahibabad</c:v>
                </c:pt>
                <c:pt idx="47">
                  <c:v>Shahjahanpur</c:v>
                </c:pt>
                <c:pt idx="48">
                  <c:v>Sikar</c:v>
                </c:pt>
                <c:pt idx="49">
                  <c:v>Surat</c:v>
                </c:pt>
                <c:pt idx="50">
                  <c:v>Trichy</c:v>
                </c:pt>
                <c:pt idx="51">
                  <c:v>Udupi</c:v>
                </c:pt>
                <c:pt idx="52">
                  <c:v>Varanasi</c:v>
                </c:pt>
              </c:strCache>
            </c:strRef>
          </c:cat>
          <c:val>
            <c:numRef>
              <c:f>problem_statement_2.1!$C$5:$C$58</c:f>
              <c:numCache>
                <c:formatCode>0.00%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5.2631578947368418E-2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6F-43A6-BC84-54508F1C9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9390976"/>
        <c:axId val="1139389056"/>
      </c:barChart>
      <c:catAx>
        <c:axId val="113939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389056"/>
        <c:crosses val="autoZero"/>
        <c:auto val="1"/>
        <c:lblAlgn val="ctr"/>
        <c:lblOffset val="100"/>
        <c:noMultiLvlLbl val="0"/>
      </c:catAx>
      <c:valAx>
        <c:axId val="113938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39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[dtdc_data.xlsx]problem_statement_2.3!PivotTable4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problem_statement_2.3!$B$3:$B$4</c:f>
              <c:strCache>
                <c:ptCount val="1"/>
                <c:pt idx="0">
                  <c:v>Delivered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problem_statement_2.3!$A$5:$A$7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problem_statement_2.3!$B$5:$B$7</c:f>
              <c:numCache>
                <c:formatCode>0.00%</c:formatCode>
                <c:ptCount val="2"/>
                <c:pt idx="0">
                  <c:v>1</c:v>
                </c:pt>
                <c:pt idx="1">
                  <c:v>0.98994974874371855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A-46AB-851F-201832CF0258}"/>
            </c:ext>
          </c:extLst>
        </c:ser>
        <c:ser>
          <c:idx val="1"/>
          <c:order val="1"/>
          <c:tx>
            <c:strRef>
              <c:f>problem_statement_2.3!$C$3:$C$4</c:f>
              <c:strCache>
                <c:ptCount val="1"/>
                <c:pt idx="0">
                  <c:v>Returned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problem_statement_2.3!$A$5:$A$7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problem_statement_2.3!$C$5:$C$7</c:f>
              <c:numCache>
                <c:formatCode>0.00%</c:formatCode>
                <c:ptCount val="2"/>
                <c:pt idx="0">
                  <c:v>0</c:v>
                </c:pt>
                <c:pt idx="1">
                  <c:v>1.0050251256281407E-2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FA-46AB-851F-201832CF0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366320"/>
        <c:axId val="1132366800"/>
      </c:barChart>
      <c:catAx>
        <c:axId val="113236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366800"/>
        <c:crosses val="autoZero"/>
        <c:auto val="1"/>
        <c:lblAlgn val="ctr"/>
        <c:lblOffset val="100"/>
        <c:noMultiLvlLbl val="0"/>
      </c:catAx>
      <c:valAx>
        <c:axId val="113236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366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avg_del_time!$B$1</c:f>
              <c:strCache>
                <c:ptCount val="1"/>
                <c:pt idx="0">
                  <c:v>Average Delivery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avg_del_time!$A$2:$A$55</c:f>
              <c:strCache>
                <c:ptCount val="53"/>
                <c:pt idx="0">
                  <c:v>Hyderabad</c:v>
                </c:pt>
                <c:pt idx="1">
                  <c:v>Delhi</c:v>
                </c:pt>
                <c:pt idx="2">
                  <c:v>Ghaziabad</c:v>
                </c:pt>
                <c:pt idx="3">
                  <c:v>Noida</c:v>
                </c:pt>
                <c:pt idx="4">
                  <c:v>Lucknow</c:v>
                </c:pt>
                <c:pt idx="5">
                  <c:v>Forbesganj</c:v>
                </c:pt>
                <c:pt idx="6">
                  <c:v>Agra</c:v>
                </c:pt>
                <c:pt idx="7">
                  <c:v>Mumbai</c:v>
                </c:pt>
                <c:pt idx="8">
                  <c:v>Baharaich</c:v>
                </c:pt>
                <c:pt idx="9">
                  <c:v>Bangalore</c:v>
                </c:pt>
                <c:pt idx="10">
                  <c:v>Pune</c:v>
                </c:pt>
                <c:pt idx="11">
                  <c:v>Madurai</c:v>
                </c:pt>
                <c:pt idx="12">
                  <c:v>Allahabad</c:v>
                </c:pt>
                <c:pt idx="13">
                  <c:v>Ankleshwar</c:v>
                </c:pt>
                <c:pt idx="14">
                  <c:v>Jalandhar</c:v>
                </c:pt>
                <c:pt idx="15">
                  <c:v>Dehradun</c:v>
                </c:pt>
                <c:pt idx="16">
                  <c:v>Kolkata</c:v>
                </c:pt>
                <c:pt idx="17">
                  <c:v>Bulandeshwar</c:v>
                </c:pt>
                <c:pt idx="18">
                  <c:v>Ranchi</c:v>
                </c:pt>
                <c:pt idx="19">
                  <c:v>Trichy</c:v>
                </c:pt>
                <c:pt idx="20">
                  <c:v>Banda</c:v>
                </c:pt>
                <c:pt idx="21">
                  <c:v>Moga</c:v>
                </c:pt>
                <c:pt idx="22">
                  <c:v>Jhansi</c:v>
                </c:pt>
                <c:pt idx="23">
                  <c:v>Gurgaon</c:v>
                </c:pt>
                <c:pt idx="24">
                  <c:v>Rayagada</c:v>
                </c:pt>
                <c:pt idx="25">
                  <c:v>Phagwara</c:v>
                </c:pt>
                <c:pt idx="26">
                  <c:v>Alwar</c:v>
                </c:pt>
                <c:pt idx="27">
                  <c:v>Hardoi</c:v>
                </c:pt>
                <c:pt idx="28">
                  <c:v>Kannauj</c:v>
                </c:pt>
                <c:pt idx="29">
                  <c:v>Surat</c:v>
                </c:pt>
                <c:pt idx="30">
                  <c:v>Shahjahanpur</c:v>
                </c:pt>
                <c:pt idx="31">
                  <c:v>Chennai</c:v>
                </c:pt>
                <c:pt idx="32">
                  <c:v>Bijnor</c:v>
                </c:pt>
                <c:pt idx="33">
                  <c:v>Varanasi</c:v>
                </c:pt>
                <c:pt idx="34">
                  <c:v>Jodhpur</c:v>
                </c:pt>
                <c:pt idx="35">
                  <c:v>Jabalpur</c:v>
                </c:pt>
                <c:pt idx="36">
                  <c:v>Bhopal</c:v>
                </c:pt>
                <c:pt idx="37">
                  <c:v>Bilaspur</c:v>
                </c:pt>
                <c:pt idx="38">
                  <c:v>Katpadi</c:v>
                </c:pt>
                <c:pt idx="39">
                  <c:v>Faridabad</c:v>
                </c:pt>
                <c:pt idx="40">
                  <c:v>Udupi</c:v>
                </c:pt>
                <c:pt idx="41">
                  <c:v>Patna</c:v>
                </c:pt>
                <c:pt idx="42">
                  <c:v>Amritsar</c:v>
                </c:pt>
                <c:pt idx="43">
                  <c:v>Aligarh</c:v>
                </c:pt>
                <c:pt idx="44">
                  <c:v>Indore</c:v>
                </c:pt>
                <c:pt idx="45">
                  <c:v>Erode</c:v>
                </c:pt>
                <c:pt idx="46">
                  <c:v>Sikar</c:v>
                </c:pt>
                <c:pt idx="47">
                  <c:v>Sahibabad</c:v>
                </c:pt>
                <c:pt idx="48">
                  <c:v>Nagpur</c:v>
                </c:pt>
                <c:pt idx="49">
                  <c:v>Bhilai</c:v>
                </c:pt>
                <c:pt idx="50">
                  <c:v>Auraiya</c:v>
                </c:pt>
                <c:pt idx="51">
                  <c:v>Jhajjar</c:v>
                </c:pt>
                <c:pt idx="52">
                  <c:v>Gorakhpur</c:v>
                </c:pt>
              </c:strCache>
            </c:strRef>
          </c:cat>
          <c:val>
            <c:numRef>
              <c:f>avg_del_time!$B$2:$B$55</c:f>
              <c:numCache>
                <c:formatCode>0</c:formatCode>
                <c:ptCount val="54"/>
                <c:pt idx="0">
                  <c:v>2.2000000000000002</c:v>
                </c:pt>
                <c:pt idx="1">
                  <c:v>1.7</c:v>
                </c:pt>
                <c:pt idx="2">
                  <c:v>2.1428571428571428</c:v>
                </c:pt>
                <c:pt idx="3">
                  <c:v>2.0555555555555554</c:v>
                </c:pt>
                <c:pt idx="4">
                  <c:v>2.406779661016949</c:v>
                </c:pt>
                <c:pt idx="5">
                  <c:v>2</c:v>
                </c:pt>
                <c:pt idx="6">
                  <c:v>2</c:v>
                </c:pt>
                <c:pt idx="7">
                  <c:v>3.4</c:v>
                </c:pt>
                <c:pt idx="8">
                  <c:v>4</c:v>
                </c:pt>
                <c:pt idx="9">
                  <c:v>3.5185185185185186</c:v>
                </c:pt>
                <c:pt idx="10">
                  <c:v>3.6</c:v>
                </c:pt>
                <c:pt idx="11">
                  <c:v>3</c:v>
                </c:pt>
                <c:pt idx="12">
                  <c:v>1.5</c:v>
                </c:pt>
                <c:pt idx="13">
                  <c:v>12</c:v>
                </c:pt>
                <c:pt idx="14">
                  <c:v>3</c:v>
                </c:pt>
                <c:pt idx="15">
                  <c:v>2.3333333333333335</c:v>
                </c:pt>
                <c:pt idx="16">
                  <c:v>4.5999999999999996</c:v>
                </c:pt>
                <c:pt idx="17">
                  <c:v>3</c:v>
                </c:pt>
                <c:pt idx="18">
                  <c:v>3</c:v>
                </c:pt>
                <c:pt idx="19">
                  <c:v>11</c:v>
                </c:pt>
                <c:pt idx="20">
                  <c:v>4</c:v>
                </c:pt>
                <c:pt idx="21">
                  <c:v>3</c:v>
                </c:pt>
                <c:pt idx="22">
                  <c:v>1</c:v>
                </c:pt>
                <c:pt idx="23">
                  <c:v>2.1666666666666665</c:v>
                </c:pt>
                <c:pt idx="24">
                  <c:v>4</c:v>
                </c:pt>
                <c:pt idx="25">
                  <c:v>2</c:v>
                </c:pt>
                <c:pt idx="26">
                  <c:v>3</c:v>
                </c:pt>
                <c:pt idx="27">
                  <c:v>1</c:v>
                </c:pt>
                <c:pt idx="28">
                  <c:v>1</c:v>
                </c:pt>
                <c:pt idx="29">
                  <c:v>3.5</c:v>
                </c:pt>
                <c:pt idx="30">
                  <c:v>2</c:v>
                </c:pt>
                <c:pt idx="31">
                  <c:v>6</c:v>
                </c:pt>
                <c:pt idx="32">
                  <c:v>4</c:v>
                </c:pt>
                <c:pt idx="33">
                  <c:v>1</c:v>
                </c:pt>
                <c:pt idx="34">
                  <c:v>6</c:v>
                </c:pt>
                <c:pt idx="35">
                  <c:v>5</c:v>
                </c:pt>
                <c:pt idx="36">
                  <c:v>4</c:v>
                </c:pt>
                <c:pt idx="37">
                  <c:v>5</c:v>
                </c:pt>
                <c:pt idx="38">
                  <c:v>6</c:v>
                </c:pt>
                <c:pt idx="39">
                  <c:v>2</c:v>
                </c:pt>
                <c:pt idx="40">
                  <c:v>3</c:v>
                </c:pt>
                <c:pt idx="41">
                  <c:v>2</c:v>
                </c:pt>
                <c:pt idx="42">
                  <c:v>3</c:v>
                </c:pt>
                <c:pt idx="43">
                  <c:v>3</c:v>
                </c:pt>
                <c:pt idx="44">
                  <c:v>4</c:v>
                </c:pt>
                <c:pt idx="45">
                  <c:v>3</c:v>
                </c:pt>
                <c:pt idx="46">
                  <c:v>4</c:v>
                </c:pt>
                <c:pt idx="47">
                  <c:v>5</c:v>
                </c:pt>
                <c:pt idx="48">
                  <c:v>6</c:v>
                </c:pt>
                <c:pt idx="49">
                  <c:v>10</c:v>
                </c:pt>
                <c:pt idx="50">
                  <c:v>3</c:v>
                </c:pt>
                <c:pt idx="51">
                  <c:v>0</c:v>
                </c:pt>
                <c:pt idx="52">
                  <c:v>3</c:v>
                </c:pt>
                <c:pt idx="5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3-4AAE-B071-62C857786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1072784"/>
        <c:axId val="1301073264"/>
      </c:barChart>
      <c:catAx>
        <c:axId val="130107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73264"/>
        <c:crosses val="autoZero"/>
        <c:auto val="1"/>
        <c:lblAlgn val="ctr"/>
        <c:lblOffset val="100"/>
        <c:noMultiLvlLbl val="0"/>
      </c:catAx>
      <c:valAx>
        <c:axId val="130107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7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'%delayed_parcels_by_region'!$B$1</c:f>
              <c:strCache>
                <c:ptCount val="1"/>
                <c:pt idx="0">
                  <c:v>Total no. of parcels sent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'%delayed_parcels_by_region'!$A$2:$A$31</c:f>
              <c:strCache>
                <c:ptCount val="13"/>
                <c:pt idx="0">
                  <c:v>Hyderabad</c:v>
                </c:pt>
                <c:pt idx="1">
                  <c:v>Delhi</c:v>
                </c:pt>
                <c:pt idx="2">
                  <c:v>Ghaziabad</c:v>
                </c:pt>
                <c:pt idx="3">
                  <c:v>Noida</c:v>
                </c:pt>
                <c:pt idx="4">
                  <c:v>Lucknow</c:v>
                </c:pt>
                <c:pt idx="5">
                  <c:v>Mumbai</c:v>
                </c:pt>
                <c:pt idx="6">
                  <c:v>Bangalore</c:v>
                </c:pt>
                <c:pt idx="7">
                  <c:v>Pune</c:v>
                </c:pt>
                <c:pt idx="8">
                  <c:v>Allahabad</c:v>
                </c:pt>
                <c:pt idx="9">
                  <c:v>Dehradun</c:v>
                </c:pt>
                <c:pt idx="10">
                  <c:v>Kolkata</c:v>
                </c:pt>
                <c:pt idx="11">
                  <c:v>Gurgaon</c:v>
                </c:pt>
                <c:pt idx="12">
                  <c:v>Surat</c:v>
                </c:pt>
              </c:strCache>
            </c:strRef>
          </c:cat>
          <c:val>
            <c:numRef>
              <c:f>'%delayed_parcels_by_region'!$B$2:$B$31</c:f>
              <c:numCache>
                <c:formatCode>General</c:formatCode>
                <c:ptCount val="13"/>
                <c:pt idx="0">
                  <c:v>5</c:v>
                </c:pt>
                <c:pt idx="1">
                  <c:v>30</c:v>
                </c:pt>
                <c:pt idx="2">
                  <c:v>7</c:v>
                </c:pt>
                <c:pt idx="3">
                  <c:v>19</c:v>
                </c:pt>
                <c:pt idx="4">
                  <c:v>59</c:v>
                </c:pt>
                <c:pt idx="5">
                  <c:v>10</c:v>
                </c:pt>
                <c:pt idx="6">
                  <c:v>27</c:v>
                </c:pt>
                <c:pt idx="7">
                  <c:v>5</c:v>
                </c:pt>
                <c:pt idx="8">
                  <c:v>4</c:v>
                </c:pt>
                <c:pt idx="9">
                  <c:v>3</c:v>
                </c:pt>
                <c:pt idx="10">
                  <c:v>5</c:v>
                </c:pt>
                <c:pt idx="11">
                  <c:v>6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C6-4023-A66F-9D55EBA69D35}"/>
            </c:ext>
          </c:extLst>
        </c:ser>
        <c:ser>
          <c:idx val="1"/>
          <c:order val="1"/>
          <c:tx>
            <c:strRef>
              <c:f>'%delayed_parcels_by_region'!$C$1</c:f>
              <c:strCache>
                <c:ptCount val="1"/>
                <c:pt idx="0">
                  <c:v>No.of delayed parcels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'%delayed_parcels_by_region'!$A$2:$A$31</c:f>
              <c:strCache>
                <c:ptCount val="13"/>
                <c:pt idx="0">
                  <c:v>Hyderabad</c:v>
                </c:pt>
                <c:pt idx="1">
                  <c:v>Delhi</c:v>
                </c:pt>
                <c:pt idx="2">
                  <c:v>Ghaziabad</c:v>
                </c:pt>
                <c:pt idx="3">
                  <c:v>Noida</c:v>
                </c:pt>
                <c:pt idx="4">
                  <c:v>Lucknow</c:v>
                </c:pt>
                <c:pt idx="5">
                  <c:v>Mumbai</c:v>
                </c:pt>
                <c:pt idx="6">
                  <c:v>Bangalore</c:v>
                </c:pt>
                <c:pt idx="7">
                  <c:v>Pune</c:v>
                </c:pt>
                <c:pt idx="8">
                  <c:v>Allahabad</c:v>
                </c:pt>
                <c:pt idx="9">
                  <c:v>Dehradun</c:v>
                </c:pt>
                <c:pt idx="10">
                  <c:v>Kolkata</c:v>
                </c:pt>
                <c:pt idx="11">
                  <c:v>Gurgaon</c:v>
                </c:pt>
                <c:pt idx="12">
                  <c:v>Surat</c:v>
                </c:pt>
              </c:strCache>
            </c:strRef>
          </c:cat>
          <c:val>
            <c:numRef>
              <c:f>'%delayed_parcels_by_region'!$C$2:$C$31</c:f>
              <c:numCache>
                <c:formatCode>General</c:formatCode>
                <c:ptCount val="13"/>
                <c:pt idx="0">
                  <c:v>1</c:v>
                </c:pt>
                <c:pt idx="1">
                  <c:v>19</c:v>
                </c:pt>
                <c:pt idx="2">
                  <c:v>2</c:v>
                </c:pt>
                <c:pt idx="3">
                  <c:v>4</c:v>
                </c:pt>
                <c:pt idx="4">
                  <c:v>27</c:v>
                </c:pt>
                <c:pt idx="5">
                  <c:v>4</c:v>
                </c:pt>
                <c:pt idx="6">
                  <c:v>12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C6-4023-A66F-9D55EBA69D35}"/>
            </c:ext>
          </c:extLst>
        </c:ser>
        <c:ser>
          <c:idx val="2"/>
          <c:order val="2"/>
          <c:tx>
            <c:strRef>
              <c:f>'%delayed_parcels_by_region'!$D$1</c:f>
              <c:strCache>
                <c:ptCount val="1"/>
                <c:pt idx="0">
                  <c:v>Delay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'%delayed_parcels_by_region'!$A$2:$A$31</c:f>
              <c:strCache>
                <c:ptCount val="13"/>
                <c:pt idx="0">
                  <c:v>Hyderabad</c:v>
                </c:pt>
                <c:pt idx="1">
                  <c:v>Delhi</c:v>
                </c:pt>
                <c:pt idx="2">
                  <c:v>Ghaziabad</c:v>
                </c:pt>
                <c:pt idx="3">
                  <c:v>Noida</c:v>
                </c:pt>
                <c:pt idx="4">
                  <c:v>Lucknow</c:v>
                </c:pt>
                <c:pt idx="5">
                  <c:v>Mumbai</c:v>
                </c:pt>
                <c:pt idx="6">
                  <c:v>Bangalore</c:v>
                </c:pt>
                <c:pt idx="7">
                  <c:v>Pune</c:v>
                </c:pt>
                <c:pt idx="8">
                  <c:v>Allahabad</c:v>
                </c:pt>
                <c:pt idx="9">
                  <c:v>Dehradun</c:v>
                </c:pt>
                <c:pt idx="10">
                  <c:v>Kolkata</c:v>
                </c:pt>
                <c:pt idx="11">
                  <c:v>Gurgaon</c:v>
                </c:pt>
                <c:pt idx="12">
                  <c:v>Surat</c:v>
                </c:pt>
              </c:strCache>
            </c:strRef>
          </c:cat>
          <c:val>
            <c:numRef>
              <c:f>'%delayed_parcels_by_region'!$D$2:$D$31</c:f>
              <c:numCache>
                <c:formatCode>0%</c:formatCode>
                <c:ptCount val="13"/>
                <c:pt idx="0">
                  <c:v>0.2</c:v>
                </c:pt>
                <c:pt idx="1">
                  <c:v>0.6333333333333333</c:v>
                </c:pt>
                <c:pt idx="2">
                  <c:v>0.2857142857142857</c:v>
                </c:pt>
                <c:pt idx="3">
                  <c:v>0.21052631578947367</c:v>
                </c:pt>
                <c:pt idx="4">
                  <c:v>0.4576271186440678</c:v>
                </c:pt>
                <c:pt idx="5">
                  <c:v>0.4</c:v>
                </c:pt>
                <c:pt idx="6">
                  <c:v>0.44444444444444442</c:v>
                </c:pt>
                <c:pt idx="7">
                  <c:v>0.4</c:v>
                </c:pt>
                <c:pt idx="8">
                  <c:v>0.25</c:v>
                </c:pt>
                <c:pt idx="9">
                  <c:v>0.33333333333333331</c:v>
                </c:pt>
                <c:pt idx="10">
                  <c:v>0.4</c:v>
                </c:pt>
                <c:pt idx="11">
                  <c:v>0.16666666666666666</c:v>
                </c:pt>
                <c:pt idx="1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C6-4023-A66F-9D55EBA69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0014864"/>
        <c:axId val="1270013904"/>
      </c:barChart>
      <c:catAx>
        <c:axId val="127001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13904"/>
        <c:crosses val="autoZero"/>
        <c:auto val="1"/>
        <c:lblAlgn val="ctr"/>
        <c:lblOffset val="100"/>
        <c:noMultiLvlLbl val="0"/>
      </c:catAx>
      <c:valAx>
        <c:axId val="127001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01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[dtdc_data.xlsx]standard_or_express!PivotTable9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 vs Express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standard_or_express!$B$1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A6B-4796-A8F8-0BCA26619E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A6B-4796-A8F8-0BCA26619E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standard_or_express!$A$2:$A$4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standard_or_express!$B$2:$B$4</c:f>
              <c:numCache>
                <c:formatCode>0.00%</c:formatCode>
                <c:ptCount val="2"/>
                <c:pt idx="0">
                  <c:v>0.11555555555555555</c:v>
                </c:pt>
                <c:pt idx="1">
                  <c:v>0.88444444444444448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5-434B-8BCD-0728A37394F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[dtdc_data.xlsx]parcel_weights!PivotTable10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Proportion</a:t>
            </a:r>
            <a:r>
              <a:rPr lang="en-US" baseline="0"/>
              <a:t> of parcel weights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parcel_weights!$B$1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94-43A5-BB8A-15DA9E98B7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94-43A5-BB8A-15DA9E98B7D1}"/>
              </c:ext>
            </c:extLst>
          </c:dPt>
          <c:cat>
            <c:strRef>
              <c:f>parcel_weights!$A$2:$A$4</c:f>
              <c:strCache>
                <c:ptCount val="2"/>
                <c:pt idx="0">
                  <c:v>Less than 5 kgs</c:v>
                </c:pt>
                <c:pt idx="1">
                  <c:v>More than 5 kgs</c:v>
                </c:pt>
              </c:strCache>
            </c:strRef>
          </c:cat>
          <c:val>
            <c:numRef>
              <c:f>parcel_weights!$B$2:$B$4</c:f>
              <c:numCache>
                <c:formatCode>0.00%</c:formatCode>
                <c:ptCount val="2"/>
                <c:pt idx="0">
                  <c:v>0.92</c:v>
                </c:pt>
                <c:pt idx="1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7-49D6-9A8F-CCDCF1E1A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[dtdc_data.xlsx]parcel_weights vs revenue!PivotTable2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parcel weight</a:t>
            </a:r>
          </a:p>
        </c:rich>
      </c:tx>
      <c:layout>
        <c:manualLayout>
          <c:xMode val="edge"/>
          <c:yMode val="edge"/>
          <c:x val="4.222222222222223E-2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'parcel_weights vs revenue'!$B$1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2A-4B9A-84F6-45810DABE0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2A-4B9A-84F6-45810DABE0E7}"/>
              </c:ext>
            </c:extLst>
          </c:dPt>
          <c:cat>
            <c:strRef>
              <c:f>'parcel_weights vs revenue'!$A$2:$A$4</c:f>
              <c:strCache>
                <c:ptCount val="2"/>
                <c:pt idx="0">
                  <c:v>Less than 5 kgs</c:v>
                </c:pt>
                <c:pt idx="1">
                  <c:v>More than 5 kgs</c:v>
                </c:pt>
              </c:strCache>
            </c:strRef>
          </c:cat>
          <c:val>
            <c:numRef>
              <c:f>'parcel_weights vs revenue'!$B$2:$B$4</c:f>
              <c:numCache>
                <c:formatCode>0.00%</c:formatCode>
                <c:ptCount val="2"/>
                <c:pt idx="0">
                  <c:v>0.75024956892639982</c:v>
                </c:pt>
                <c:pt idx="1">
                  <c:v>0.24975043107360015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6-4322-9EA2-603896C03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[dtdc_data.xlsx]peak_weekday!PivotTable6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Peak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peak_weekday!$B$1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peak_weekday!$A$2:$A$9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peak_weekday!$B$2:$B$9</c:f>
              <c:numCache>
                <c:formatCode>0.00%</c:formatCode>
                <c:ptCount val="7"/>
                <c:pt idx="0">
                  <c:v>1.3333333333333334E-2</c:v>
                </c:pt>
                <c:pt idx="1">
                  <c:v>0.28000000000000003</c:v>
                </c:pt>
                <c:pt idx="2">
                  <c:v>8.4444444444444447E-2</c:v>
                </c:pt>
                <c:pt idx="3">
                  <c:v>0.12444444444444444</c:v>
                </c:pt>
                <c:pt idx="4">
                  <c:v>0.10222222222222223</c:v>
                </c:pt>
                <c:pt idx="5">
                  <c:v>0.19555555555555557</c:v>
                </c:pt>
                <c:pt idx="6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7B-4389-B5B5-E82808FD4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5072607"/>
        <c:axId val="835073087"/>
      </c:barChart>
      <c:catAx>
        <c:axId val="83507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073087"/>
        <c:crosses val="autoZero"/>
        <c:auto val="1"/>
        <c:lblAlgn val="ctr"/>
        <c:lblOffset val="100"/>
        <c:noMultiLvlLbl val="0"/>
      </c:catAx>
      <c:valAx>
        <c:axId val="83507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07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[dtdc_data.xlsx]service_type vs revenue!PivotTable1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'service_type vs revenue'!$B$1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AA-4F9C-A063-A63E05946E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AA-4F9C-A063-A63E05946EA0}"/>
              </c:ext>
            </c:extLst>
          </c:dPt>
          <c:cat>
            <c:strRef>
              <c:f>'service_type vs revenue'!$A$2:$A$4</c:f>
              <c:strCache>
                <c:ptCount val="2"/>
                <c:pt idx="0">
                  <c:v>Express</c:v>
                </c:pt>
                <c:pt idx="1">
                  <c:v>Standard</c:v>
                </c:pt>
              </c:strCache>
            </c:strRef>
          </c:cat>
          <c:val>
            <c:numRef>
              <c:f>'service_type vs revenue'!$B$2:$B$4</c:f>
              <c:numCache>
                <c:formatCode>0.00%</c:formatCode>
                <c:ptCount val="2"/>
                <c:pt idx="0">
                  <c:v>0.22914965060350304</c:v>
                </c:pt>
                <c:pt idx="1">
                  <c:v>0.77085034939649699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C-4089-BA58-73FAE94F5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[dtdc_data.xlsx]Sheet1!PivotTable1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trend across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Sheet1!$A$3:$A$28</c:f>
              <c:strCache>
                <c:ptCount val="25"/>
                <c:pt idx="0">
                  <c:v>01-10-2024</c:v>
                </c:pt>
                <c:pt idx="1">
                  <c:v>03-10-2024</c:v>
                </c:pt>
                <c:pt idx="2">
                  <c:v>04-10-2024</c:v>
                </c:pt>
                <c:pt idx="3">
                  <c:v>05-10-2024</c:v>
                </c:pt>
                <c:pt idx="4">
                  <c:v>06-10-2024</c:v>
                </c:pt>
                <c:pt idx="5">
                  <c:v>07-10-2024</c:v>
                </c:pt>
                <c:pt idx="6">
                  <c:v>08-10-2024</c:v>
                </c:pt>
                <c:pt idx="7">
                  <c:v>09-10-2024</c:v>
                </c:pt>
                <c:pt idx="8">
                  <c:v>10-10-2024</c:v>
                </c:pt>
                <c:pt idx="9">
                  <c:v>11-10-2024</c:v>
                </c:pt>
                <c:pt idx="10">
                  <c:v>12-10-2024</c:v>
                </c:pt>
                <c:pt idx="11">
                  <c:v>13-10-2024</c:v>
                </c:pt>
                <c:pt idx="12">
                  <c:v>14-10-2024</c:v>
                </c:pt>
                <c:pt idx="13">
                  <c:v>15-10-2024</c:v>
                </c:pt>
                <c:pt idx="14">
                  <c:v>16-10-2024</c:v>
                </c:pt>
                <c:pt idx="15">
                  <c:v>18-10-2024</c:v>
                </c:pt>
                <c:pt idx="16">
                  <c:v>19-10-2024</c:v>
                </c:pt>
                <c:pt idx="17">
                  <c:v>21-10-2024</c:v>
                </c:pt>
                <c:pt idx="18">
                  <c:v>22-10-2024</c:v>
                </c:pt>
                <c:pt idx="19">
                  <c:v>23-10-2024</c:v>
                </c:pt>
                <c:pt idx="20">
                  <c:v>24-10-2024</c:v>
                </c:pt>
                <c:pt idx="21">
                  <c:v>25-10-2024</c:v>
                </c:pt>
                <c:pt idx="22">
                  <c:v>26-10-2024</c:v>
                </c:pt>
                <c:pt idx="23">
                  <c:v>28-10-2024</c:v>
                </c:pt>
                <c:pt idx="24">
                  <c:v>30-10-2024</c:v>
                </c:pt>
              </c:strCache>
            </c:strRef>
          </c:cat>
          <c:val>
            <c:numRef>
              <c:f>Sheet1!$B$3:$B$28</c:f>
              <c:numCache>
                <c:formatCode>"₹"\ #,##0.00</c:formatCode>
                <c:ptCount val="25"/>
                <c:pt idx="0">
                  <c:v>990</c:v>
                </c:pt>
                <c:pt idx="1">
                  <c:v>2870</c:v>
                </c:pt>
                <c:pt idx="2">
                  <c:v>4740</c:v>
                </c:pt>
                <c:pt idx="3">
                  <c:v>8140</c:v>
                </c:pt>
                <c:pt idx="4">
                  <c:v>260</c:v>
                </c:pt>
                <c:pt idx="5">
                  <c:v>6355</c:v>
                </c:pt>
                <c:pt idx="6">
                  <c:v>1400</c:v>
                </c:pt>
                <c:pt idx="7">
                  <c:v>2410</c:v>
                </c:pt>
                <c:pt idx="8">
                  <c:v>1720</c:v>
                </c:pt>
                <c:pt idx="9">
                  <c:v>920</c:v>
                </c:pt>
                <c:pt idx="10">
                  <c:v>1960</c:v>
                </c:pt>
                <c:pt idx="11">
                  <c:v>170</c:v>
                </c:pt>
                <c:pt idx="12">
                  <c:v>3560</c:v>
                </c:pt>
                <c:pt idx="13">
                  <c:v>3120</c:v>
                </c:pt>
                <c:pt idx="14">
                  <c:v>1210</c:v>
                </c:pt>
                <c:pt idx="15">
                  <c:v>1000</c:v>
                </c:pt>
                <c:pt idx="16">
                  <c:v>490</c:v>
                </c:pt>
                <c:pt idx="17">
                  <c:v>2050</c:v>
                </c:pt>
                <c:pt idx="18">
                  <c:v>3010</c:v>
                </c:pt>
                <c:pt idx="19">
                  <c:v>1800</c:v>
                </c:pt>
                <c:pt idx="20">
                  <c:v>3390</c:v>
                </c:pt>
                <c:pt idx="21">
                  <c:v>2260</c:v>
                </c:pt>
                <c:pt idx="22">
                  <c:v>780</c:v>
                </c:pt>
                <c:pt idx="23">
                  <c:v>250</c:v>
                </c:pt>
                <c:pt idx="24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9-4C62-A6AE-03FCE73AA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7157455"/>
        <c:axId val="1667154575"/>
      </c:lineChart>
      <c:catAx>
        <c:axId val="166715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154575"/>
        <c:crosses val="autoZero"/>
        <c:auto val="1"/>
        <c:lblAlgn val="ctr"/>
        <c:lblOffset val="100"/>
        <c:noMultiLvlLbl val="0"/>
      </c:catAx>
      <c:valAx>
        <c:axId val="166715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715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Heatmap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Heatmap </a:t>
          </a:r>
        </a:p>
      </cx:txPr>
    </cx:title>
    <cx:plotArea>
      <cx:plotAreaRegion>
        <cx:series layoutId="regionMap" uniqueId="{B20B938C-0EEB-4AC3-80EC-1561D38B5649}">
          <cx:dataId val="0"/>
          <cx:layoutPr>
            <cx:geography cultureLanguage="en-US" cultureRegion="IN" attribution="Powered by Bing">
              <cx:geoCache provider="{E9337A44-BEBE-4D9F-B70C-5C5E7DAFC167}">
                <cx:binary>5Hxpb91IsuVfMfxpBhiqcl8aXQ28JO8m6Wr3+oWQLZlMLsktuf76CXmpkm6pXW48P2CMEQwbV7zJ
XIIRceKcoP/5cfrHx+L+tn0xlYXr/vFx+v1l6n39j99+6z6m9+Vtd1Taj23VVZ/80ceq/K369Ml+
vP/trr0drUt+Iwiz3z6mt62/n17+659wt+S+Oq0+3npbucv+vp2v7ru+8N13rj176cXtXWldZDvf
2o8e//7ylfe37W2e3rq7ly/unbd+vpnr+99fPvniyxe/Hd7uL1O/KGB1vr+DsRQdYUoQEULozz/q
5YuicsnXy1IfEcQp0erLVc2/TX12W8LwH1zT5xXd3t21910H+/r878HgJ5uAaycvX3yseucfzi+B
o/z95c7d2duXL2xXhV8uhNXDDnZnn7f829OT/9c/D34Bh3Dwm0fGOTyxv7v0F9tsb9v51sHqfpZd
iD7CWmHN4MAf20McUYYIQ0yhzz/i25Rf7PED63jeFn8MPLDD9uqXsoOx4InfjuS/7x2EHwmpFcec
fjlu/MQaCi4jLQTT5NucX8zwt8t43ghfhx2YwPxaJji5bd2tv81/ojNgdiQxYoQx8pwZpDjCYCYw
Ev0SpehTa/zQip63yKOhB1Y5+a9fyjGOwS9+cuog9EhwgSE3fD32p6kDnIMLBslFfM0d7KlVfmhF
z1vl0dADqxxvfymrbPoMUrr/djA/IWCRI6GJ0Fh+zdf6ScCS+IhriaiCr3z5+Tb1l7j1A+t53iJ/
DDywx+b4l7JHmKa33tsuuW3TbyfzE4yCjwBfKab5s+FLkSPEMJEcHWSRH13N8yZ5OvrALuHNL2WX
q9vstvOAfH+iUcQRV4wSqr65ylNPoUeKI0wUll9SzgHw/aEVPW+YR0MPrHL1a3lLdF+k9sX/enXz
v3+iWdSRYJDHkRDPpnp5hDFnEiDZl/h1gH8/L+l7q3neJF+HHZgjOv2lnGR/e5fOty8u2tu7++5n
hi96xCn4Aedfa46nIFiqI6KUFpR+NckB+vrxZT1vm8PxB0baX/xiRgIgdtulvv2Z+FgfMcgtinL9
rNMAPkZKU8K+Jv2DWLa//aE1/TvzPBp8aJtfC42d39ku/YlmIeiIY4oYA7t8Q1uPannFjhhRnFH0
1WoHZvn75TxvkW/jDoxx/muVkRe9y24/fC+U/8dEl2IEc03k00TPjxgWCmzwFQcchK+/X8fzVvg2
7sAKF+aXClc3t6UtXpzd3vU/zxIYHyEsMEJKPbWEOmJIIuAbwUJfeLQvVcmPLeJ5Mzwee2CKGyAO
fyGK8TPV+j+Q3cWRJhTqeDDI55+n2V1BDBOCcvKtyD9wjx9e1fPmORh+YKFXv1Zuv7kvbl3yU2lg
LI8AdAmu8YGv6COE9ENJ+TWnw+UnLvMjS3neJI92cWCOm80v5TBv7jv/wtyDRYpvh/MTavmHupBh
juTTNKLkkZbAqrCvXNihUPKDi3neJE8GHxjlzf/bCeX5APtYJXnyjf9QvSLkCEITR4p/O/anGUUf
UUGFBAr/S2w7qBa/Kkr/fjXPm+PrsCcL/x+Wp/69dPWHuBcB6b76rAo+Uq++f/Xz9kCuPBj6PRHr
y1nt7n5/iYEdIZKCG/whOD7c50kY2t86W/ftN/d7OuweKJ3fX2rg9gECAycJJQxmigFNPILnwhVy
pDXw+lxwRrRQEvCxq1qf/v7yQZcBwEY0BuKMcngGXr7oqv7zJXBQKhCHO0JW05SKP1TZi6qYk8r9
cSZfP79wfXlRWee731+yh/3UX773sFrFoLLFTADNjahUUkoItPXH2yuQfuHr+P/wpnN1gHK9rYo8
2Po8piax+pj5hZraJyQJeTLd5CpzGzYUPEzSZXpVdj64dti+SbiQYW21uhPIJseEluxdN7BL7MrG
UKrO40akhpRxtiVThda87JLGpG38GkqHcu/zYLd0Tb3WQ5dsi7y7ClyOY1PBPVZ8yFxIhuIiU5lS
psjKPDOdmL1ZcreZglhEgbR6iWouhhs9zyqcYh+bZZzrfZuxKY0GPEzbBcXZxta53AYO9Mit7vR0
XfRl+tbW9X2+BE5GiadNG042e29J9iFP5bLq0mJvGTvLnKjMXBW3dqrK9ahKH3WUdZFj86dxmgoT
J8lJrJrSDFXPtxMfhemCuLzKkqLZ65xv514XZixxHraWT+HSjjhkosVhzGwXZb5uCrOITq5GTne1
EoOJ+ykwtW5klIEuVBrUJ+uU2ThkvM0yM/qyvson1u6COI5Dms5FF+qhfDeW5Fx16H2JpxLOKnbD
ZiZVEirNkus+a+3roZfF5VCIYFOMPHZRzWJ0yUepasOSMS3CxeEBhbnQajFyoaU0qmCbvM2pyYsU
uW3sgiYLfRbM0hQNkru2aYJdO4rkI4nryhCfrOtU9KftmK4teMV6mOPRxHw8RSwdTzhyJyTL0xMa
Z9kqI+UU5kSnUVkmOiROCzP09GopsTdZI7pT4WK+aRriIj14HuIKzqyc4g11jhzTXvp7rCr3qh2S
atXQtECrvGtKt+ly3E+bbKh0H4rFzpsuXlIbCZS1s9FMqSpkNc7yazt3eDyZm6wMi2zkJuUTWU1a
tCFqgjLSOnGv00YvFyIWzHSoPLNVm53MCWYXPXPLZFScuHczZl1YNHJZ82qsIlktrTWlaLLzoe7V
XeJ5v7Iuu2yLihyDt7ioSsoM74E7z89KbWVifOtRFha+XOxpCRrHSToF8typMtjIIWUfVTwEGxwU
/iIOCHiJTJKPcWPL2Uy26d/PwMCHgxrIecx7dGkHUUQVxh9YEeMtmrpy1VW8ScAd24sCHidjOdkU
ZTVvcIOP0di1RvbBcKKSRkViapvVmHZt2JHItliZxs+ntedv02SZVnByb4qkqgzLbQw70fMqUOlg
SI1vSu2rMO+nbcuqDJ6aeqMnepcgPK5FE3xsaOZS4xje1Kk/pjKLUpydFgSfdGX8Jk5opJp0Vw3j
B4uFSSp9hoahMHPf8/W09HdlOuGzvKH3FUv0Pu9rFgHJ3a7VFKhthf0tV113nCo8hJ3I07tZ6/F4
EKq7LCsy77qOLyarrTJlmavNMHQfIRTz0HF6N7BCr4OyFWGTJyoqsbUnLAveLWmZbMoZ4TPX6H3W
LnNI856snAvmiEpcramv47DpO2cG3i6hqPs+ckMRajB2zsZs5VUdgd+tq7rz+6XGbTQv87yRrO7C
ciLXbRJP+wJjuyMlcacBnkWoOizOkkniy5y77oK7ZEX1YHeBV0WYjMhD8HHSHgtQZkZDgoLdd3Ex
rEiP60/5kCiT56Jas36porLjxNCSwFXLkyijebZpxilLwqIn87uJy6EzYprJGzn3vjZDW6K3llv/
uvEMVcbZLPvULRRtOlpCAKDpkL4accvHkPBiNCpHwmSF8GHC0mQ1KIrMRIvWNE3bRFNfLKYoJDeD
pXGo9anmBTbNOOY7XKqrYdRvG5d327p3YWDT+NT17kOy6Os6OJ/SUWyJ3tRkSMJ2FqkPO8T8ZV/G
u2ZKPkGcjSrljB7QBfE2iNykLhGCtFKNkykhl65zTqZoRPUHulyWfog6BWMwrt+WAckuO4R2tYDg
MLZtXsCI6lXdDlmom7j+oOsgNiLoLpSYI5KoYTdwBcmKL4XpaXrTFSIJmwCcPc8lxOaCJttGJrkR
AhxTz0FmcFl14bwsaJW2QVCaRm4mV6WrhVajKWVyPPeCbZqKRpJlTRNmmlZRjF21V1mt39oBnwee
LxGXYtjosXbXQ5+tc1aoCFPpQ+Q05FI/8Iti4VdyHtNjQrLJ0Fjt6qScop7Rs6mCY+byumuWPuyC
MdsGooeYU/LVnBXFmoil23YNjSYxhKoIsjUT6K6QSWeSHF9zwt7TdKzCYWFizTp1EywDvh+9fAs5
RV33S/LpcSPTE7Dysarn1ibp1y6yPz7+66Yq4c/nzqY/f/nQhPbnp/237rXvfmtzXz2QLd3hlx6A
5x/3+rOH6gHp/dFQdQAfv/S7/Rts+d2LPwY8KcD976LOa5vntnwMOr8O+YI4lQLGQ2nCOMBE9gVX
fkGccAVhJKClD0v8BG+qI5ACJdeAUjHnAHv/xJvyCJjDB/JdQmMWZVT9J3gTgz7/CG5CIGIP4JVA
75dgCJI/sDGP4WZMAUKMjpAtG9LgGKBQHiaV3bOY1MdyGqVJm6WOWNpVq7FOpld2zJNjh502DfJp
hHVHDQQx9TFLOxzFvpZXruynXRXUfl/KKYVy8g88/wxAfoC/f8Ljv64XDubxenkwC2/VjLfaFuN2
ZgDGaoDSBlBJhGpUG9JotNclijffn5iyvzsqKBweT10LVtZtTeetTTprlslnZ3neqPXSTNUq64Mq
WnQRmB63pckJP5+GdjKi0QBZpE7CrObtdl4cN1UwlqYCNGlkm54TTfodqeH0BJ3OCxon+9j3c2gl
ZPO8dWjbLfaqHrJVW9hXeYZ4aXwT1K2pCzW8zW0wL9HcjM1FlZbVJvVlfz1QlJzmnYSEU0x2VdSk
PC41qva813bfumV8l/ajj3BQV6cWF2Q1l0uzbmu/Qu7jPKRoV7hkEwCqNE6nQ5SMGL1iYzXt5ODG
TUELZeIpsetM9h+zVnfeQGbt39aWo03qIFgtlZMmSxq7alNebSqSveIiPu/n8bLJ6nbXjdFYBG9Z
5/SJh1rieM70m24hwYbr+qSdGYrmVJDTbEn2ZVlaUycSkMictYb3dkPHujCDkre+HJZoGLkzRGfH
dIgDQ4b5fEIpX3dN7lc9imkYpNQf18M0reM+JlFc2LMqXuh6atG2Taqbgk3H8TLHUdICLKgRJO8k
rLLmWOCYm4SiZp3lbIogendru5BhU2WKrchYN8ZNcx4BGAG4m9Wp6Wztd7wV6P2YtMlKJKNPDcd+
3qalvRx7TY/Ba4wN+pN41o1higwA0KebaQiGy6mcfDSVDJla9OuEjfUWpcENdtO4sm2iTavBJmlV
pee6T+hqoLQ41SlUZ3mGV50S8U45gTYecvaOsVqFikBmaypRh5kVPNR9baNhostNMDXHAKtWQTUM
4ZCWu4W2NAIJvlhZD0/zxGmwHuugMr3SowGANZ+MSYqgLPN2g4byA5Puxuc+bDV5KAmU0am6AR4x
6h4yGSngLPnIuBH5sBXUjyGgRBk6SWhYEGVw0dfRqGPTD5pvOVjTlCzeCP7auQ6KMzorAP91EdGi
z6IgDlQYF1k0uQZQjFSAl4rxCjuEToKEgauN0xhNxdibqvbyZK7q/DqjOIhmCfl9ZNd5xacoB1ga
lnOKTN5nZ0JNxMypJJGHch+qKDRFc0A2wdhuOAmCFRPJVU8mZXipTxKe7xpAR1b11jTzdOMne8Jr
G3qfng0NrrcVoIJRDqupe70UzblscBdK1F+laa1ekSa3a+ikWjnU3+aWxKFI2n2bk2gu3U0XtCsy
6XWTlh8Rdiu/2DwqJKDmhnRpCDXumQastcHLYGzWXNpRHwctPp8Ar2SxI3uobQJi4nmW6yQWrjIV
rboPGDQqOHeHrqduXnekIFdBh5J1bEcEvj1MHweSTAa5VpSGTFTfpoWFz7Ct3bR0HEyl2RyOfU9N
3NTFGgp+wKhpX4RTQ922ra3bkZxAfdx3SdSWOb9UMVRDxZAv+ww1/bYIkhQqQ4DYOUOvSmtJCNEP
Sjw09jetVhAsPAsMTQK0GVPcbQGY2tmMTqJTLCe0003fXjVx2V+MPa23tiLSxGMGX8yqFAAQTUNf
tOhUNPF5Pc/HLaHziov8ZnaZP85jD/khZ6/7eUlXbS3zEHgbbFriulVA6vaMNKoPkYrTyLMiN6Qd
M5Ply2J019ldIoFUyIIWbYLE2pVEQwzBruNvSxccy3iBeJexsFxUtnWjyiIixbJtR7mYAFefZOK2
CLrjN1xQEgZDnm87bd/RoGUrYBAupaUuxGkcrKduGk0+pMNqDDK8K+vMnS0tv/p+HgMS6zCBKgUc
JpYUSwAR6GkWwwFLcZB3eFvp6rKypdiW2WJ6m3LokP9epsYPdzpI1U9mOoAWuZ9cikhCt0MCPAyL
9T1eusEUiFShy8UHQZwyE5DfRj9E3lpClf79JVCg5f6yBAH9O5QDbYf0IZkGPMSYuW6BansoZR1C
y28Q0r5rgEORMgpaGUS2wfm1X2q/zYFIOYsfIkk6aHSCsrg50aNvgf2q3gqbtZf5mOooT1uI8gl2
7ozLJd7mGNkoG4pka2PvgFabuhUUpBAEHTpuG6S2sk4+OSEDE3h416Bsy0tYR7BKfAHNAd878uds
+3i7DwjmEXeYsaIgVc7xNuBdfNW1Ew2BhQN6RgVL+P2pgMn+68lK4EJAQWVMiYfrj6bCIzBqPp/w
1vbyk5dFY2YOBYkaXdTy+u33J6MPj8rhoyQezfZAmj6aLbBxOUxVRrbcDhdLz+kbWqb9LhuTO2zb
JmxE7i/6tEiPlSfL1gcTjUhec6NE4vc667cZWDLqwA0L0UzrrOv9cR9DcEumvoysBRPmfERR6jMe
kblyFyhLnanzdgqLCcPdqsyajgan0wMoaR7gCQOc8v19PuV+P4NbQPxYcAkdTrDdh8f50TbzchQo
gDyyFQ1PgPOLUVhSkgN0E8GFHQICFW5T5H9jyucc9cm0B5ia+AqCWzXSbcA4uEbL72SOITO3cW5s
i4JjN09ncdABS/WAcuTo879x1GeXAEEJWHesHmTGA9a7QHjq6tLiLbUFMFyQEi3v9sCVx2HseWCK
WpxDuxjgTSreQ9Rv1t8/+WceZ+Bk/pz/wHP6UXcVdgnb+qJ/Tzs7nXkX0+OyEfBgBwk07n3PTx8q
hYPHGXaKONgYg5rED3abjjZofaXQltMuO8VjPhrbxX71/VmeiQZPZjnYU0cRBYGgYtvST9iMsEHT
Obbypaj/xnzPzfSwFQTtRVCt/iUY1Lp3yyLQdonH0YwKvymE3kGe+ZsdPfuYPJ7oIA5A/dH7uGgZ
ZJNa3tvRn2dEso3uVWzs3NPrPPHCAkcJ8Lh5AMqk9vX++8f6TMnMEGhB4KKIaA21+1MvjdNpbKSN
6baXWb1dxna4qQnDO2snuq3p9KqqdR4lQyKNHWaAb0nahLIpkJFlcAsSSb6qqwAiJqALd5In5RvR
0uICW/I6a0Hb+P5y6V8fNoaw5vDWBDTAIHjGny43wEMel0sLS0v6EzfzyuAU2U21FCgUwbIHZh3o
4x5t+y6dTDLa2kARGqztlAN8565YDSWE03ZwO4Cp8SqrcFTWUNN0wIkaKCI+1fWY7FBTAoSj7ATL
oTG2lFCezUqEdWD9ql4qwFZ13JihuCcWYTOPTRkiMbDTruu+QJyvmuTFF0/6oqo9pooeM0f/XxJV
mHIFge2PSPQXeXT79K3Bz/LolzFfmCopP7+uAb0GHDTIx9qohN5BULYRwjAFqKAI5vmqjcIbnUBu
weucoHtL4KMeZNNv2qg8EtBarTUUGUg/XPnG0j0xIijCXz8/lka5fHhS/wybkmF49weafjnMAu2l
8jPae5weMUlJnqcORKRAnUskR7kuF1eu3ZJlbxPh+3dc1cXOiWLMDZDFxPCJ0RXKm2HbDkTvgHjw
15rBPaJBZvp11Sv6lkChcQZkMHtledztR6CT4Emn2YfKBvSsb5Np5+DvrSi5RCF09tk5bLBnd/m0
kN50Te/PBKDaGyYzC49+ULpP81yTfatEcUMKPEZKI3LsUoovgNDNo34eXORTUe6SWiVG1HH2ulS8
O24DFb9GdZrts6xc29kjowI9hKDe6pUdQCPJMo8iIdPE8FyRkEKBu6sKFYMqzJvagDaanGkoKTa2
s1XEphyq56bPV1RN5bX1rTTDlPmzHtJwpGMVKSiwzWwFOmXAFuxpCizgVCAGynA6nDEysPUg8/x6
8MjvK58sq0wKd9YQ1u2SosMr2TXDVeFSvxu8RoYVqIfKmp/FfVucAdYaNs3U63e4ZTQEaXc4TiRh
UHY1+XlR0HbL8wWFvq1nU/R+udUlKwy1GWgFRdVHJAVx0C+yWMWt58ctUKKv4rz+5JyveQRv8zY2
nMp8fIf8lLz2QzK+ndO4u9FA80C5wRYJ/MpSQ8Xc4NKFMyLS7gTqH1gcoD7flUCQWsPKDKKeWuT0
PgMmja1zUIIvnBriU6vK6UQH6QSF46jmiC2LslHVax3NbTGzEJ4R4CUCVjQVVMCLO1VDX37C88S3
8QAp06AK823bVe4UxPhgFU+8uS5msAtrShR2Vn6ap8xdLqmvjoNJ0H1eJElUBs6/mTKRAKej+zdy
yOzrCgVJ1DXBFRFZfZINI/kUTJaDPpKRyWR901fAuM3TJYgNd2mq3nMu433dLi0YXcYnpKA86kfH
QWWAKA56t6d9bqSs+X4ABeMqrRSO7NLNx1OzyPOy1psqyF9NqcOpGWUynA6g+962Xb9sZ8LGbWJV
etrOdb7jWbECHiHeVkGnE0MXKi5Hrarz0Y/zehZiOoY8yN+ltBVqlS9D8FaCmvU6qYt85/JxfA8g
F92O8QDlV1rSqOqUOhlp00VWj1Eu+KWdcHNFh6kEDqsYbjPaNK/5RNNNW/X0XT3UyW7pBzqbmcYS
m8paumcltSmIa019lnQA/wyjLDmhaTWEi2zrcz7Z7sKqun4TQ19IZ9IS9VvSkCALUVnn6ywGSW9A
cxbGJcNXSVBiAOYQHc6hTWTa+imtYL2o7IgZCB5fi9LK476q5kguQbWPpW+M8Bk5t4vq9rXr8cpD
r/5xN8gWGyUzbkGbrMU+TxM7rOLC4/s4b/E9iFv+vhe82ROgQNpoLJsFhxzaL1aDc3UTuQ7quxAK
hvGVbVPXbB6ajgtQTftcRnrGGijJDNBrTDN+0lDdpFHvBr4nTvarqqBo3ccNxMFKesSh7cApFbos
rVeeysGuFxmoM69wswDjKOk7ychigfIVs4NKqS0XMy9JEIOEOnJvWisUeOcypqce2jLeUpAcy3DO
kv5yCgZ315WLmMLYJeQ9a/nEjau79N1UKcoMBMRgNtJlcshNQXr5bnbMjyYNqHqFAdCAtozHtw0i
izu2oFwLMwbVvAtGxN3Gl4riEFjt4ENSTaQyntfybZ/yUq10odoLBGL/nlbzQ9Ae4xkC4+QKGwbe
TesemOJ+owiagAojOngn0qkgJq+mYDIz7qZpL4Qs0RYoq7oNKQKCYCyyJl1Nk6fTKiF4Xj5rd+1m
dirPzUh4dW3F4DzA4KUKzBy33QfULjozfS9EemIHTvx1naLgRLZLue4BS7Ur2afJDP0V5XyNkrzO
Qkby/h0QvsDYlnZ0oGP2I7PQSjGnIOUHwhvUcajP4gJnwE9TDlJ/kWNg0Quxw9jXHVSrdvrUBsK9
6eG/m9hUqpuLEFSqMTH51BRXNpfxm4fKZw8M36dmDtpbbvUVmyaQlxeeMGmmohLrHpX6uOf99H5W
A0jcrB/Ee9ajToVJmc87JBIJ8FsWYpPgQV7FuVrURZLHgTMzK3FjctmOa51p2EArU7/JC+2ZEXIW
Y1hA8H0VZHQ66eI5eY2YdY3pC2joqaGDGKoJ0Y7QUQJZhepx8qGwKci26cj3QT500niGoU8CRA++
CwKgS00LjvC25oW4mb3IT8ZSAjdZYgcPYJUyaK5Y4njYxDjBr/quT/d5yXES5QHK7MoJl70F5R3W
LAtVHgvWMRcti42h+E91d1wVRfNGiaxkOyuzuQ5jWY48pJpCx0+LOnqaOzBcQAvsTIA6WCAfkuKu
CYYiNVOTLWcuGMBjfIyLN5kr+hOIofgWgT7wZgQAD7oLm2cTyyWD2OsoC0e4dQIlzdS/0zD+shto
rE2a63EDr1AF75oCMhSZFTCrzkPSGya+ia3Tr6EtJHiFal1cMjolXTROfACCg5Z7WrgYaK0YThaC
LhRRMcOD0VnqXw8Dm320WFq9D/Kq3mnoocvAR2t6zW2qBgNRMfjgoPdkAXIFtdBUoF3AQhIrgAq6
B07LpvVSb4JhyNpV5medmwwadJoNtBaht75s++vKIXcvU6bKN3iMETPtPMqrjGZpspbjDCc5ZEtv
fF7lFzrFSwrHJUgXsoSPJ7EvqVFZll6CsGJH06kxjtrRRjhbig9gqykLl0nVr8fOQxYYPOR3hper
vE2D2uS0KluTAFffmbx21WUgcwJaRROg1/X/Ze/MtuPG1SX9RFyLJAgOtxxyUGqWJUu+4bItGxwx
kQAJPH1H7t3ndFWd6l2r7/umBpdVmckkAfwRX4SHkZjKmyS7tZ2HHL63WcZOa68Lc5uxWLtmNBCU
6raj60MINR+3ZxYvfRWPXfvepvt0novddmU/4aqygMk3s+zp07r1RT3BGwNCpQGORNPs7/weYkWF
J7s8m2iSz1veFvjMYRgfwKLleOJZP5/7zqW3QxESVSXY4XBnUAdwbjDRIRKRkRWxY98MPlxxoo06
TGWDHh4gErZRyXIef/dRJt4CVYi5jNIlvE/1jitSTKO6DcMdV0gmsj9FO8thSUzkJxhMvC1WDOtb
Ee0Y55fOdeAgMvYzx3n2lE6meINeBqfRqwCL3xrfj54Md5Oj7V4HdPLHYRsg+JJEjsc5jeDdzUPo
MlhmS3HbFnt+2ZOVFJWPs3WA+NYt37Zp7ESJvhzye5LF/Ks1A7mhbcB++DV2rmKLL27hTtx3GHPP
zk/Y5v81Cf3/ofFvGfT/g9VmuHfi6yj1fx8b/zts/zc/9b8HR4yHGUa9JEUnBuajCP+/fyMOKUiG
goYkjCO0yIBXgDzxX1DttWUjBkmdQu5E5UmKH/qvwREtQTAocnQdxXEUYeD8f5kc/6yAAJPAK2DC
ijCJIvYO9uzPCkgRg7xbpj1rVgqJuPTgvL52cbr/u+jn3z0/fzOg/llDvL4MGIr4CuVnaYzP9ZeX
WdIwhSDN0yZNRvvNhkF+yEPCcPheR3tks7T/gCRcMxl/Goivrwix+F/dPJiMr8P/H/XiYvZjbsY2
bbJoLwBCzOHUVSbo5q3kGeH1jOPoSw6Z6rS2+bPZwiIowSP4b9yR6BhCIbtZ0g5+tLJxE3sz3BRu
2u5m5v1tBPnnn5SzP+uE/75C+MoTiIRA+MLs+kX9YYAfsmB0286zZmzF/LlZN1ZLFuGvY8GLegja
HItelkINzcWnFqH/NHu+vTk2yCM1IvnNjBlfudjXG7Z78fsPN/XffH/x/7xP8jQjJMwiJMJxT+J+
/OPbywoVygEeawNcL7nrfTTuVU+vFNiydRc37Bmwu0iKy3Q9/IVBiL2BxXuD95yfuj3JvsaOzQ9u
7y5A2c7w7Z92FgHXaK3JO6AgdvwgAISOtk2gpYtY/DAswhrplHz+z5/lL7DKvy818HE0b0Bzy/H3
P3+WvPfAEQ2hUPam7tZRnVeAo2NW7zLvbjbdmxHeQkjh/i/bJ083Acd25tis+byCmk6L4MnglPuR
JpYEZRTx23kM6PsejYdloXeZ7uMarKOtMti7D5wYe15FB3+VDR+SKuyBLX0v6Eru18BUnLuH3PX2
JB1Uj1FP6T3mcXWbBK0Hs4PjHPiNPmoP3cyBLUJpaozLE5xpN3KnZdh95qlmvozg/15oqvzdOsyE
lR1Wo4ueww2H5zgo1lr4fXj/z9fyXw/uH3UnPGboMIGLmEUkImgu+/O1lNm8jHRxtIlaMj+IcOQH
MWzhbR7nR7isv4Nh2wG29PuVHM27+QTpY/udqkn/SKRa7xTbLLx1FWfnDQfIOgsUmHTOs6gKWiLB
7YjlBO6V7RcmZ/dZmC16MbIVl2Lag/eIjOxW+pTBdpd9WDoW7rc56IXDatLwH24crKz/Y03Bk3nd
EtBWQfEo/OXD5qG02fUhWKCa3bM5Nu310iZnHJb0I/ArEAoQ6kqcX/2TVjmmaUlxTgfALU9QXPJX
ulD3S28s/Pmfv4e/WV/z6yILrRFlDXl6XV3+sHpMzM3wMzbabHmMI7cWvzvrzglcyDrbLaou/nuH
+5vF4G8uA2yoOEZU+urIFX9xGgT2B8g9K1hMt2TvoXDi+hQPD//5Vf5mQfzTq/zlKZ1yIDkL0bQZ
Sd//CmE03zrDcUxNVu4O//m1/qqe4sqhGAl7NHZUzNXxXy4fbslByljRBmB1fCHB7D99qtLbRJPw
Od4XLLtcbIUoEZ7hjwUmhPo/v4G/uaRFkiVw4bH+J/jHP39/oN6oVB2lzbRm9i3aVIIDts/+YRe+
xqv/tCnSPMLBAeURWMKBSWZ/sWdiLLm5m4a0Afj9LBcEZubQHYf+ylZ9EUX/sHNSkX373DdXwTMO
Hnw0tSX2kxxC0ebqwpilWjEqPqWLxJDF1hU68vMSSwXpB9On7NmECEh3lskeO8ylXtfzpn4NrP8H
a/av9wcFQJEk2CuTCHUKSBj9+ZJBvxyVSXXWYF4RVWsgAKfOstqnIviHb+d/XDZUoFw3vii91jnR
/C+3R+fbeELaoGgwx7Ob1iF8lIXeXpjm04EsrTnhUhf/8KI4Cl431T8urqBPsd7guISVNQPp+pev
a4tXGs+YAhsoSV9oP4qGsFwfi3bf3okSc1rCGn4GeXPWbPvICj5cR8T4+wDxBdNSd8HZp3SIUoGu
Th8XKcMai5s69loep5VLpG76jzZePoSNjn24iTLPR4gjM9wBNa2izLb9TEeLITRbwsci3WSl5qmE
yg+RHeNMUPahCw8aIOBdLjDiMJBGEnD/AXxsVxYt5AUi5yejuqLkikk8QM8OkBEW/fOY5C+sEObB
p98T6T956JcH7mdo15Sy90UE5gHxnfgAmonVrR+iclb5XOolG45Tn/IQ/z4NH84HEaD9nndVsS/2
M54KfUy6BLLSvJLkY+/j/FCE8xcp7aPOjwafsx9Y9LPtqW5oO3P4Emz+BsWg9+U6UX2gahwb3hfy
tE90rmKn5/tEDeNjtKetKeNBrU00JNhztYl/LWTMwWFm0M2hnNRtP26IDUS2bfwGiQx0PBm/jQsH
pbjwnZeDq+SUvoAiE/WqyMxKbkyCOJPq3EWTLnlqOwtbtHfNTsKmEPtJdNwfoVGf2vSLgRbo9qRe
XVz8dhtkFaBiyppfA06Xbz0olwOB89MUuf06d+pmmfflAKjD3rWxit7UMJAnO2qal06KGf+vKViA
GRVlQdTTXPi3nUEWtGMGx19qXXaGBVMJNjCtomC1D3r3O0i7iT6uNp8/wRAtD0bnkCrajv2GDFYc
mW+XU6hy+bRMefTOwcZ93XpyBHIm1kM/7PmjELN8CsbJ6HJnAFKrOVauXgbrXifm1yfSOvMq46G4
5hXcl6Br5RHW8HgfSMVOftfBM6Sz/t5AcqwGNBnUkZozvHIq71sfmGbc9rAxCQSkoI30WaSC3sca
6nCHb+/kh3l9Aqj3Q9vM/RiunxCaaXDUrX0MWXL04gvc7ajKZ/egWnfXBtlyHMJhO4toFD/bNuq+
iBC3pCIgbqmBOZAraIxBNvl6XRV0ogKhC7Ez+pSprYNQKzwobBdVwmn+Ow+X/RBAULoBOD0/cJr/
6hT9ALAJAWuJhGzB4PX712zJxAlpN6ilDsm8juykhBntzznorRLW21ctl6+y2MwAeTfSPyakit5Y
PoJdK9R8LIgTjQQCWWHyWW71rGmtC52eBg1eEZ4aayjBmwKKz98SzYO7Hu8K+mKL3zzyZ6yw+0nN
ajtHK0kb/C52jLPttl3sL0LZZRI7IoRDkfKSh2QHR9vhNwBqfLF7kTcW4O5hJDnClYscm0gE+Qsx
7seSU/E8IYj3QA1WBTyDvk5Ib8/TTB+9DMmT6WZ8J7ERvO6WzdxAytzwUK3doSu2Dao2qSBpy9ts
gKY0kivZ4LqhogjOva4wMfBr0l/CUOEDCoVIC8XqSJPFYYNA/pFGHWrODDe3FsLZfe/b6Yk6sd2B
qJkbEORr3U3DEQ7YB6DT5cDSgdfJlUxYQ7CatrD1HszDvRg5AQWzxz/JNhgI22qoVdGFdT8y9RgH
MwyfFqNdeoDD9UZaBUuRMKh/HfyFKBsRlgECy1p3iWZbGbKc/Th8aceR4xPL8YmEewQks48/Q79P
V9QdJ/1888lxWGIw7NpzUL86fdBxmtRcdv6kdvIStXtFeRJDWG8tXCxz5F6aptDxD27VpYtoPSXj
D94nadlzmxw3mcZHHYQvAmQDYAd7xyksvs0A9C5pKJf3FTHHWqqNt98YxjNbdu2cHdzgVkzXXl/W
COxrPBPwvSO7Nx4S+BojPdptxMdVJvaxDJQ2lekhipYUuM0BEf6+Elt7g2MHMPhhGC+CBPYxiHp1
6EPObwFzyxuYT+I5SdVTN4KqEFMRfO8TLb57HY7HqM36t5YDOF/3pL/tW03e8a5Fs5iR3nPbT0j0
5QBRU9l9L6JguFFXwTxLsXPq2Ck8F7I42d6YSq4DxsHJ5fXCxHyWBAZU7KiqkSgN76ZNmsOqsHgP
vX7S0W8kbwlH2sotX/I149USdfIx3ib3nLIxv0hYoJfMZ8MlTIDcJtPafuW+cO9mGmVVwPt+3plS
R04T7IVdPBwTvfbfcmDSlUwWdbAqz94lQ96r7wpxM4ABRmmtewwRFKz3kbBHKDsIJeDT3m7M0ctq
F3rbEkObDr7clzjs+qepX8lZL1t+mxTMNGExsDs75/inpbD3Khs+JRJyX+AJhVWfsPCEW7RBNvBH
PtPuwCecF5HEuK4uRddFMKEkzv0+S5FNBD0AUvdGmgca9s28pPxhm2DyM7nnaxXJtG0Ck2d3RKXi
GcQ2/aS9mt+zmNMqCJI31ya0Fl2I7U+t9kg3qwv42etwDJMCDkGSzjfrqFKsYYk+JFlA6j4cwIwH
Wr0E1CIHsPupsAd4tN1ZkUweQpck5RQpxE2SGTd+u+pAAopPk/PArD/zPPyaJ2v2mOPnSwSXgyde
DNOd79VnusQRcAhNcAKeNH/h2twHCzllS/Kb5/qGjZ490rFI691ZMExbN5wtwXVmMGsrRdxWQo66
W5hsLGsrHNTag27nTUIgcF1jg6h42KLCPKzrwl4xYqZRCbctOhQJR+48W6y+R6NF+5bpLHqe5zW8
i9dN3hDG9rsd5OznQvsQyW3VdV82jjcThAn9Rfaw+Jn3Hb8Z+35o4g4/F7V5UOuUw0ZFbDw8tHQg
tsS64L7HxZLdznZxAZwxwRsYmPxZ8oyfOzXYX9O2p6YcSCAvDI7GcRGSyDKL+ug1aHEmGeCt5LWg
2K8t5B+B0HAbHpHESLBVGtV+QUwZWYFoQopj2RBEdYrQCedMlcpSdbEHzBdPb4IW+7vO/AQofpmA
Ecuua4FPIaOYlkoMxf3YjfYQj8FWEwxD8JHbgH4whS0ok+30kcILPRY0gDs6boMot20u7opJSbz5
MCUzzjMDAiAyUAuC34F/2EcIlPWqFwkKvlvuBjs8z6lHTGP4aubEHLrOxTcItrKTMf7d+BgPtJ9V
5bpRnwzxoolny2GuYLsBKZHhdKu9ukpEe80RL6iRODK3MdHRoWtNd8jI0N7MQcZZqed2P9tuO7Tw
7ocZsV3srn0ZkRnGwwIO/wJUQb7x3V9M++mT7Dnf4i86t98jhItzx77RcXnvUMl8muGyPykLcHoJ
eVYl4ZzdTjYf13oCr16L8Gr4Ce+L+zmUukaKzp/mKTARpKgY56Sc8ruCAvQJlnGsI5jMS5nI2NyP
vGcIjKeUft83nvcV3oJ5VC1lTxMqCNp9JieRcP6x+9CLUm8hOUFa2n7ZoV1f/Jypo9tF0HApsxOS
xsjzUmx7n8bAF5MzehJYkraIABN5xJOcK3At4ilnw3ayYcQ+uIDdoiOTN6B0+F6x4obwUT6lIwSX
Mip6VVukh84Z5dtbqHtsOnluCZAiRmWVCo+ZNURLf2natP+Nn+HNBCde1vBukRHFMaZLKu+X4GZE
DqHB+X95yKai75oEUmuj42K+tUkX0LJPRXaYhi47wlpaseQmglQAEIMDX4r8JdgzDAwZRMPXzjvx
gYE9vECiEEedxwUeblMgCxGwMmn9UzRslS1m/rlCdDzsZA1hI4dIlJENcLzJ/WNgQ9PsWYHw8Q4r
+kx4HtyFHfoGynDX493UIbehcfhoaDfySkSTOJoWmE1Pkugys/x1suFNPC/ihzcM0aNOdS+JDcSL
R0SpMnJ1T/2M5XQBQ/JUIDz5raNT8WzGOL6LsxDJ/GhiP69L4beZie7FgKZADC8ao4seEMOWQ1C8
Zn5dv2RjMRa1WfufWFim+85u++sWuh42VTaKQ4R2jm+b4wqfoRtPHcv97bT27D7yTD1ZvYsbMUiU
RjAwYT1ixsj6xewrOksQTIkZ6h0maC9bmveXGQe2r6gZIAAs0EdxxJlHykZZIEL5vBcnZTMLk990
/QOUQfs2JlAG98DNNwLlHEWZim15Cpcug5zitTtxnNcu6bSmv7ZIxar0A++fCG7VJ5UPDgH/YIvj
M80wH3cTpskTooXcIUa+TQc15PzUISvxdVlm/aEGEKUNCWEclEJ55LlwOB9eDcru6hjZyyaZA72A
Zp0x2ORsDm8Vwuf3QRryJqJCnmyrbRmQSGIM7PQjtsnhoAlMOzwlilWdy91bgADFa9AHE7LNOa2V
9C2GQ77ej9n+lLV5hpvfjuYk8RGQLcol/41/TdJqSyYcLUeXZ1tZBApeB7xL+hwAoKkzPeAU0sZj
UqmCLa/RGkEwDUOc7/Cf1c9JtntjPRoZIjtrjPc48Ny3OrDfadcOH5wGXDdtRFdbCZ5s/TN4OEQG
UGMR1oF3Rl1EsmBlYO4ZHxQSutQoBtnCmRyxqbvjnqXzaSRBSN7mtl1+23iYMFpDOeQ3cTKnCdIn
Dh52AeIuLn0bZa4GC6YBODEVBA8hTdf8gqqBaWt2St/NvM8n6XPyPHlSnPqgV66crVhzFJSoQeBp
pzJvMGduD6vaFJYC781etmNfdIeZ7xK5NovDbeZz2bhFu/gW8h5yBWlPYVTlAtkfuqEvZFdU3I2k
WF4BqAzVFqA9AJgz5rQg3397WfgZMnCy3QBrmn/QSNrDIidskQ47LCvDzZLbOZv915gny+8OMNVd
6GnwiY+uPky7LchitHK9wVaIZQDfTcIbZ+Zc3yO87+4XkaLxJDd+Olhqw1uoYQzruZ2nrbZk6mvV
CvnQI5dzL0I6fMNoiXEx21T+Yxj0CHUdC/dXBapxbHKyXYa1Q5/ItgWASYotlR8LHHBY8En7DksJ
z5Wdegx6vXjhts1vW03ZeAhy8gMBmoZsyNslawLzBHomaFN/M44biDEPCazkPmDPvcumL7vZ1wMJ
JbtItFs8jHQE8TJoA8jSWL4cHPcrSFIVN4Cg9drMsdBfyZDa04Dt642NrF2xwnfpgE8Sgf70w/hd
4LjUbJtYERsK2QXJtOhRLkOQotFhvQamYgQhq3VfW17tu2sXtBB02CV3i7RdFGEwwDT8I6YqP0Nd
ZZfY7r+WyP7SC2AQjADo7emjM7Jhe50LkhySDUuooNy8acnYTV7I4nZIWP/LZjNDzFn07h7KFnaG
GQdr4KhxZkqFXFAjdb+AtJDBr6XYWgmeh/xeYrotP68vwcsk3dbiee+SjjZpbMOx9BaIfAlOLXRl
SFxSysiSKmnx4YRrMYL7N6q1hR/oUTYSSD5WNt/XB3AYj7ZbKfqJxIHiY7V1v+4LFB0AGxe7Ko++
m2QF5Ok+wKH7FPFdmgDBy8ZjujrE97BE7LV2/ltuoMOxIzDTj0znGyiOjLwv+Og3ObbhEvrieobH
JRqoS+QNu1OVBIjAl0Pr6H0AIKLCWebaKjHmtYr8XQc094JuGguYUslPN+2Q22YTHFuJWTfYBxAa
alsRY+Euq0Ru8BwEET0vONKyUmKz2sp1x5a8jvF+TLUPjiJcphqdJwJFDyaW90sc8EOY6OwsspiF
JVa66EXmOv0JKWMo6m3I97AKhv3so+V5bnX3GMXQBYtgmTADGnLXtgbRVtyHLnXX9qFcuBO+cQRy
fZzAdM2R8zddcRG2eN8Ckr2BfklvRqdlBZYrgjQ77zXF3ntjBgCqIFxTIM29erdROlxmOs8VDgcS
8VW7Vb0FCYsWwe1u3/IxgZYQuKYgHdw6RMm7pwx43yGxm73orOh/Mu2xAU8t8DoKG23sGX+dUzp+
Ycz45yBg2Rv8evR1IHIxt4DPFGlyFopqSgfkshK+5m950AMallP8sjqO0iKHZiaMQPKMwOFykOi9
qvSmhwp5cMurBHghCof2uT9uOEsesU0PIfi1cKuCkSIEijg1w3HL2W9YRtWK8ZcOxaEQG472re/X
M1zo3FduUXI+AOA1zysAtdOE473AapqrDWNX3LOyoFvw1E9uuFdCtDfopFqPndBTvW00vd0Trk7b
GPFDrvxQU7tgBkJ7Sa3bQT4Co3xcZkJeo70tuY6/9SL9XkwFLalI977EiU81aednNF+hH2d1012K
RNuJIaH9LAWibYqT/GZ2G2qzlvEL74oYiWvb/Vag9V8ynSRfzChaxFaIbwJlX9oY1HzeptvzNm+I
g0x0vN+xk6LOjDcLG8xzG3j2kvp5Pi6rTg/xDJUZgi6523hijjSV68EsgpcwQz5MrpGhZFNw3Nv5
bCedHU2C2wiQ2e8V08qnA/dNZLBXxhlUfVGg2vYKaPVyPiMiOjVK8/GYdQu0IXC0Anc4YY0nvvuy
GnPw8GOJ4viO4XU1oVt+JqBML2zbyENuVk1LjbSxLAOspBz60xHFWuYgxjBQpVzjvEFDg6IKo9g6
SltpupjD4DJEO1dYy7IJ1XTJNWgRGTQFkrgWgf0rLv5p8oAdTbBHZ8eRgkH1T/pkQl2JJb2N/XoK
ULZVgpRPLlp1D9B+BbyD+Si64UkENPwBOm7D0oRxON7QtQVezF0ggL2ORQJZIcwqGA9V3PcQ+6yR
Z6L7C7sGjFe9T59kbftqJPqb9+wWFasRyMBeCFZGMQOvJvMY20FADyC6C+ppf85it8hr2cQsy5XD
ycLRI7vQYEe+3mNATifUhglCeZNHqChDUgihn6jYv3GE7y6zHZOaiBRDu9kPDGtuHaJKx9ZTT3+I
mScvqWLcNKwDqA8sN0YTjRvW04T8A9D4RHQ3NOjH9EjmiH5oGwXse4tfwOOpZYq5t4i+kCTrMWtZ
qG2js82I5xZYpUobn+euOMCggJShe/fUBkn7oiQxZW8KURyzPD4XlNQsV/GNojFoPG63zZ0sCLbv
bdZiV8wG3FK6j8TwJej9AMsxIl3xnfUtFmL8AT8ZOsW6oL2kPeaTio1ptH0UxTA+FSyj5Aw7e5gq
Z+CPwKBFKRa1vvLjDvBaxdBE0UVSGob9MA1hIWA9LVLQrrp/HjY7vpg1wWqLdYMfCWosfLm1nIID
6dPsQwL9/O5ETD9HxCtKnRRmLrcC5+YFc10Vi306eLBvVa5ctJ4GdMNVE6g72DrMYlpsJeiSPNDv
EIqBWcYIa5b7mt1kKYWGHyD2kKwUqxUyGCEQdXAID2SIz8ssv3chIpbwuR4o9nf0Fz6QgF2WAQ2C
SbQ5RDgYZ6igi5Y73HHdR6sGhYlYIUHIwtvMRZ8guE3NXCxPk0W/B22dAuFXHO1cfLPMPlO1vyft
sq8lHlw88Z6o8z7itXK2HhOuxT1qFIsq1bjR5x5iI6PxFbKJzDP2bhSk5CNUsmGSc4MxAJPqGiQ7
Kydv51/e0qlClmSpcOw5c2RqyjVrMTMlaMnj4FjaShbL9lIIvr4yIz2q2AhE6omq+wEAQziNd4jx
tk20Z1Ed5R1EikW07TvmhTlsQKWpOhuJP1tB1m99NCxzpVO3X/yK1oTKomYDB98etrBasenOKAKE
VVGB9S7dwIqTCyNThxh1Yqw/s7gPJ05f1FZEOGhBP+3DAOYIHT4WFkRHZ7HiQlvd73pBdR23u393
Gaa2uYKVBWUjxc3ykOr5fdsi8sR81LLDshL3TYb9eDI4Hd8lxZq+O4QDIH7B1sORyFM0lzi04OxT
EAJkznAZwIMFwxFlj+0DgTT0E7MpphA/tPe9ZRxCBa4frmTQZVHT0mh6xQjX14vWx9HFFboSw0tS
BPALFju+zqs6aSM3ZIS2t3VBs+Qi2CsM5KNEy9FpgpfUGK+XKnROdzXVFBr3EDwQBksR60r/ugrE
A5NcYjKxuNHKCSTxb+77e6mysUxQDmiEpfDUblYkErqYoCEMZI0pk1iyQ+Hma9se6Je0Tmj/IzYx
lYAY5XZCsYd+R/0WtNQ0UUilxOqTj9Bf6z3GDbH1GiQ3wlT2ZUJlwH7NcY2nsR0xJXif3WZdPr/G
e7roo4E4V6AxgPmabxmCizxlT50a79fM4CRhZX8DpwQWQzxPp10X01zr0Aj0ucybf/Z7z08AzbYF
EaY8PqGNbZrAVxjYBw5htQGr4E8f6ajigGlekACz0IV3iToRn2DJAoP+iO7PAqmSFoObiIPLhAwC
RiQlkrNGLItXKd3G+w3nlhsUOrIVlplEdqrrdreUfhJ4uNcwTuptxSWugti8jQtI6hxwfoOEgj4i
pzvgGBef00xi29s6eqQLTkwlhtD4DhObKDsNF9HWSvknLj+XoQ9+iRH9KTozwe14PeFuPu6fweeJ
ezThmUrM0/A4IAt8wqNDHgvIP29JF2dNXgS0zq3nmO+AQcd+iSuKoEWVDAPWKR6Pt+CaEhzDLM7K
LdpBsMLuFept8oPBqnxMyQifX+irE6ZaJIwhL9yAzza1HNFWyXuSPhuPdqMxEvRnVGTIJEDFw2Yx
DoivmgQp8g7FGtfqkq2GZkTqsIsMIv7B+q5Rf/ES4X586mSEW4mRFTqDF88UaFYp4DtV2GnQDYpF
FYKUTRB3DUeoJ6Pr63ykiNaBiz+aJV2/qhZrm0C763BEbiPLShcO+MRzYDpbTfxaWMWydWky0f1E
UW38QW3eP7h4UTXsw6BC8DguxUBohT9JyFZxyFJcqUlUAyfu0gU5thiGpwOCsFD592ALPnjufjGb
kTsUij3ihoI6D/Womqd1eOyCaDY1ukavk0LSzft94WFVHyWmXHNEVBmrV6cXe8JtrXBcJJBItznv
ztHQs9dMhYu7bjw2rEUxub0KcGWBCADH5jZqTzSb9c+YoR4IGnubkfUBHZ3uzMP9f3F3ZsuVIlmb
fZV+gKYMHHCgL8/EOZqnUEi6wTIm5nnm6XuhyspUkKFQF9Y33Te/2V9V4eI4bB/2/r61rW0cK121
bXrAq5uggXXikxy65+sKP8dZoT31Qk/wMtb+3ldMiDQQma7h1iTb0mq5T3ojZKcm0TAN+KL5FE+C
RJSdlqS/J80+BZUogbZI/7vjT/au8NR478hpvC+dsrjI0tkXGujJXlpVfZYNasH9U+0E5Rbt9Vbc
bgc9K8+ViNuW8JPkzAQKA8rRaep5z8CtmNgAc4xuuiKx0pymIFb+iH1fPqpxWh3ZDpzr0ERpwqvY
aY3cJ2JovylOKU5hL5DfW6KXyTbQwgtv6ocbvsWEw7NRPeeyi77qTkLWHHbnvWWJrscp05K+GSkU
o1UA4JltUDLyf2PyIQ+jjzdgSxnDHrZq19T32pDWV0acl+aVamOqbEYNy5Gp9O0eX214LMOAWvkU
qzejHtjcGWUKMk0Lkn0hG9Qos/3BciLrwet0cRUUOUcOzSI9k4ieSCboCr+mXGlPyaegShGLKIil
pjq/VHLlk5Up33VEnA9poZR3eWt4ByUfwvn8irHOCMNHVam667H1rQd9iLs7ZezyXRTd9iRVD8KI
2qc4lwA0NX14Uryg2UdITs71PLS3reW1TywoTzJO9EtMSZwE+jS+0mNDnGdJrbqJH6Q3fhPGW8/s
4m9d59WHEtfutkoxrgmKAmceUqojt8AQEmQhGixTlmGeEqvmbVX29Jz65ewrHSfxNdUVTl51oQKZ
4ER8Hs00zsyQZGCNLIVkZU1bv2jFtjRmEUTW2ixKfgGeR5LhkY1b6VZ7VvRevg2kpj2ZTpKzyvJU
cCXDVLslrRqed1OjH8jORoxqDUBH1fjkt4l+U1hlvU9xUO+UILPPW43kRZT96MnMyIHdIgE97HJg
dipsjQZ2vggAl1dH2bGU5Iel7T/bQfANPdJ3m7wqjizrEHraASpUuC1rGblFmX+PZZxvgIi4WVjB
0xxjlr3R2AVpdwGj7KLHIjK0LDjDZEHQogSEtV+lQhzsCdZtqxm7LrS0U9IV98B5j2iDoFp1wXHE
wbQ1+xCtAfUfPG8DJSu7JbGT1urGFwqw5/Is0Y1jG40XRkmee6S15h1JLeNY2wNMy8ZHeVxMdOSl
jh+9WIApD4rlR5c2oIR7QaXrwcy4G+ZTSNI7zTX3f065ygmRIv3eihv/DyUIjEsuu+phsv3Yzeqw
/vSqXPy/7Q35f4hpiYN/ljn/pYj9JyogTP+gy3TyPxbtvV6ZAf/+x39aP+bOEDY3JTiFGBEIjP9Y
PywacsJtJhWoUqexnPm/+Q8zQP+XMIlu1cKZIcQrMeRP6wc4Ad2y6OGpY1KyXv+r/wIaIMCv/6wv
RFuIfwTwpkbbEbwHC32hQKtU9HZju5kHXju0ai4rtQPUrlDG8is+JG5PauA89qVpu3ImM8Kga3ZW
H3knIUs0KchPjlgNxS4XzXWbOqlrpE30klSxdciRYgkuXnH5lftAAdIDGU7Sj/6VwgXoznYC5UBz
aT/YaJjvv6GqpUgQ1NZdoZhhvw/UwvjqJXlqwF+WwaFT0sPotJchKKdztNAadm3ZnMrJP0nJ+soq
rx7CwrlW27A8FqgdnqRfOt9ihTQfR7/RQ9/itQc9QyMLPTsZvvmh4b20pteeTXVEdkAOjcs6HhyR
6I7QyFXI3EPJfU4kl+QG7Gs98fr9KKIcQZ6qUVts50qAgQm2raebHmEG+ZAhQKioy9H1kowSwuSF
xaduyvPvYRnKS1J+OhKU9mFik/zMWc++0S1yxhthQksWMgdqb4c5iQnq4qhbvaDGTjimUefaI2eM
JhfxU92O6hnYguYsi8VXVAZo+yj/X4QBC29o2fV9wrH1pKPPRkY/qWAaYyv8EliD8ll4vn1ehrVx
4du196UYsM5thtpUfnQs2ZcpRtYncFLpJS+c30m9B7Zdxj1UNa7AsNfZDhFzvoUyD3hAtX8MRpzt
cO+C/Uu6Lj0rY+iTFW45MmVIGzkptPAEAPrxwRtMlJLdG6mIDsnkObvAbtWnzi+xUcqkPDome2HR
xtoMW6iPhaDs23N4dm1fzMRMru0de34BikWPyNR4jzbG6p3Jle3BUJNm09Vs3s0U6M8DzvtjK6h0
dIaVXodJElnbyg76DXsDpwsSTDvLq/d9DOCQ00i1R/DyXTAl+HWzwrzStC46tYAbeemIWhs1vejz
yflmFob/aeg0Uhu9nj6Og0jO7ABdZp9lJZKUwSnhHODr6AtV3MK0UKFEO4qxk7kB/dTgdvitNupr
x6iUrYb67dAWkbia9DE9RL0crvBZt2RCBF9tqDrJpwTkLVRq2UzgvpkzJ9KouFVZ+zJxBD9XMBfc
4ZS2zqewsA9jr1YbfYi+lQaMbOQAbjFa1mNcDEjiUlQvFRkNsxqjXW/GAQnIMPuEyMe5gpc8NVtT
6aa96vVADcog8q+aXPVv9Ildrgl0PSDKJnLzWQ/xr9b7bmN6KoefMaIglZrZV3uKa4f7gFIeFbMy
DpQA7T2VAsBk+ddaG87s2Iu2itrvBLX1Q4XgLu3AFtplRTaI/SwolR38OIGlIpLxVgTyIzH3Aphm
Gax6Ai4bTjySdSzCsxngjVfCsyJoejXLARZyEcBAzyeIogX5Ej7HrLjA2D1f68Ver7OnZEj0YJ+X
FeKcSQtpOOFl7Xkzdf0PD8zaLguy5Nzh1JNukQjEF7mvZ0859pZDbaF43UvkvOm+aSoq7Zyp4jvn
NZ7j19jWA8iVp4y4kKd6Xhd6c4RuS72QCmBrKPHLm23qF8YNa3YU/qQopwU0bSPojIMUaW77tVjx
R6UxOB/4qquZ/j33cgrVsX5PGfNFNVTg33nckjzyywurai1/i/6pP9jdwBW4rFAJbRTfrLS9OQU5
kPvJo2cBRa1dFSXdd8pN/gN3qPGE3vVo4Pct9akctqKtXuy6OeRBVXJGrM8EfFPuP+HXEjjwlm8r
vRnIiJ/A5JRUfJP2zNFqqOBlmhrbOiaVP3d0OGVdpcutGqvNnnkUW6+Po10nOw6ezpDetFbvvOR2
nL2MndoduF5kX0Sqt1emP5ZXiV8hHO3nXHPTW09A3byTTHXvZkzD7o7/1zpUUxs+UTYJzqjUTLRS
aOz9RLXF7cmUublEaC3sfjyhi0IVQknNI+kr/HuuJFG36Se/3vLYPdiZOIB37mhuRSXjELPJ7hMA
sQ17UIvJv/aqxwYG5c7XneIRY7ezKzG2/6C7vU/pLo7PWwTv5KvN6ByrPjfclsrhI1B1ce1MtnKv
1704cukhaTrZav6dWvfwKJVcPpoWcL7AK6sb7t3dmYpi86hrRnDhlWp1JDFySit713SBTcuHqtmW
9pyItFoNLErf97fDfJno+qxFEpBooRsYsHiSsSVPOZbVfYuyfgtqAntzrgn8W7r3kHtG7oCe/QQd
sNe3zWT2aOhRTr1w1+gvJ100FxN9ZBCm1MN55tuSbhGxfsAuHV5YJmV3vAW2ThkgGtEIcbneqlWH
rJdbwzXkdxRAoIxKd9B86nIpXSLwoiFbQ5K4d7opvmn7IL+UwzTn3zIs+L5enA3Scm6DeRUh38Zx
xTop3DYr0rmjCO4TrORln6TIdEaKSpz8I/QS24htYjuyVNXzmuVLVi9vXsd0Xwtu00lRfiCJzL52
81qXVKQx+kpsjC5sNlmdmO70ujC2r4skK4Wxa+eVs5rXUEolrDPkqCYWgkBttghFnKtxXnmHeQ2u
BITlrM9ZczEhjU+Z19kH0Y+s6Fpe3nVWmZ9P5E5faNdCqmHGc8ZKJQ7p68YQzXuENe8WWoI8Gj0c
e0jpw74+WmBBAPC+bkGqU+DZcJSxQVChldYDuELzGp2C4e2GeV+DlKJTckf5Y7q1iuBR6YriUM/7
ZFtF0w7uPjtoVvj2l74ga0PipZ3hsSIszosk7VhDm7Q85l7cu16AewsF4rylT2rNix2VmkSUGXYH
LS2tajPVvCLr9dQwzgcIhZPENB8pcP1wuIhlH1Fcs8xdMJ87VI6PnhOUW5kGTQbYw7b3ntIO52kC
jBFB8HDyzAz2d0b9reDos8OZEJ2ithXk/uyArhudQ7VuyBGA4O+PL01RRycdN8Jl5Kfic5BL46qp
TfsuGzVup1Ud1AcRVM53EO/iBnKy+bVL2u4mrMfwk9JGzb0HQqTe+WprnRo/UGAwV8qwS4F0gBhw
enuDeV+/koreHiuljElj809ZN4SkdYkQ5k06FsFZQS38qgHyDMS7t6ovQ9U9qbIodo6tzDgTXTUP
qWdrrg074cHy+eERt4YTulYSSwGCiQffsetxU4Aj3pMIUG7MKddP6JuN+zTK5Q0yfBNgOlsXtIH8
oSDPGm5ytUpOuhJGzS5FO5qBdYXO62tFC9J4iOpLWdDAQ9Lq4sjBUv0yOFP7FTVLwRxP1KE5kPr6
oe8nU91I6ZMD9jWmcUQK68YRMw4ZVIZUXAooI5WtnDllRwY6GoazyAK7Qh67clCTkzcOfUV91nCE
TNTQHpDepluEhIkbZl54FlC2H5g0W96iz4xfIl16u0lVTX2jV2nzxYcg8lK0pAxVy0iwysQ025He
F5Vk9p4nMvcNptlzUTizYclqErZyNbxVSoT8mZ7MCUw4UPWmH6VxE/IzvJhGTqaMtnZeUKqMpu8q
PNph0+QhDAYOAMquUKP8YIdNiXNCqE95HRtkmev20tQps/ma1e57Eqv8Y2uixhiQm0VRWaK9sSFl
cQfYJI48c1TjR9o7X1BN6ijU04QLkpdnJwtjDtFOQ4FNFpX+XZDqo8vKw8Hai9XHaKAtUJynjxqy
zSej1Npj1ybF5940o89erVbfY+J955C6O3YNbnZHfdRlIqE0R6Y8mUZ+iXvzOoJbxKF/QI4/DHIf
2+wVhNXcykDtBrwVVBEl7mEAGCdbNuy7XmyeQXLRj1NTRHutMsdnVCgF9RxyT0OvkGsOpPdVVKHh
+tJG+Gjl87F+ygYOykM7bVG7IAcNPNcxSuUgNfRWYZWG58Uo/PEca2d+J5VOPATcXzCX42T/3sXg
32hfU9sXGfo3fdP5enSfFT04qqlHwkGfrfRgRUYB6AqAlxMVGDMUz5To3XC5MGoX/pGEONg8q6jO
RIgvKrJrfnuXeKe+taPzTOubrc0PHXGFKQl6UL+8jmUdHDMUyvveSWq38KaBi5Oub0pEracBaYob
mvz9QU2sp5STYLgHke9corQcD2ah02RHa62XoAw1V3QhxWNbidtNCly731Sjih0kC6JmU+T1KUrq
Z5hsl5Ol/ph7yu3JHWt/NB3tlOD0sT0WDzU5OkAs9CS5E341pm4fhtO3CJLYhhTmY9pkHKrxYO2Q
LWs7hPS9a6tlvRnxC7lqK5FoAq57bHykbOSOWYrLqqtYkrpm51M3ui0sLxXYqBy+7ySzmwfSE9OD
LFrqzbEKAZyW5BdqHECLy/nNN0mWi8uIK/tG8Xx5CThM3LZ92FB0aio7c+nqoNzjdNVvdC3rf2A1
8eq5WFQM6I/8KZDXihyNYxXGHIuU7DKF6WKoJfqOmroouvjIlWFbsooI7hhDrexS8xv2+CRCa5JB
wFLGJNv2DnXKApsKefTpigPheSO6K1Ntn+z4JZ/ucCkCdWowaWUi+hGZPk0pUiQlmOZvLdMrn/m+
2LzAiV33k4WZKciKJxo4QYEKE7IQaF6UynWI6OfJrPtPMnX0Z3Lp5mcZSQqDam2cauBIZ+wEwYVM
EJ/ZAZ6w1kvSfaZgWIoi/9RU4JEdK0RHNLTBbRgV8m5UvfHFRO6wwYGVnqrJQOEZoYG0sthMjjag
4Yn91BqegL0ACs1yTadwIoKjb5jpKQnHcm8A9QEbiDobHzoQCCWf3DGxDPKbeXQ0cpOLbMBJdkyo
OXahNhw5Q6I0M3Kk8Buczd6NmSASMcpZv5C0xj4WWvAJRUDodlhPaV3QlkfbqJwjJYCANGM4YiiY
pSI8g9iVfjrtO0wzT2U3zty8ARd+FqZ3fsYiSt1TmQ7dvOHaMgDBpsWfEmUs6DBFbSX2Cg5kcTAd
ENJy56ci+eCA/9lPbYHVhTWDYv+YFHszRNgFwV7p5RbUABEYZyoLNt1Yuq1siSweJd82Tsq/6Jq0
2Y5ozB/HDP2dAuLwa+Fn+jGIWSEAFNS7upEjoRKmRxq78MxZVm00O44w8uesZn1f9kgdzN0IO+Rc
aJ53SUOXWZz1xSQxE8Xqyc/5F4EHWQHEmIgHfd/mwROsNWMbWL26p9nSeEaGD99a5dxxL98KB8lq
TPM4+iyBBr8MYtFs076zKPop0z4czIBrEtW9TWXHyXlgmxZT4Gmnvsq1b1PboYEUdfYj8GgRhfU+
PNn6qOCL9FAR6x5sxCyLYnyvefyMo4ssdhkL785QOucy46B9w12lOTdCsz2poySzhKFKf4wUo9s2
flg8p1JHiFsk+XmkzBY6q4iOBcCtowpx2jW6qrzI9IyGS2G/LYZsqw4RJWphOBMovEhziTD9U8N1
7aZRIrqlwe/bhym5jwDopab6FM9nZ5cwz4b6ONrMZ5s5qE7bLd5N+05knQMWyYoepZoYpzJOkgsr
rG3qj4p5opfBja/Lvt38/i78D6LJfBU2wbNTu1GRvS+x2tgnhefRQshVwBjsTSNCM+h3+AhLkzo8
7g7uv3oy+A++zDJUKEDF8h29KpRbCKrjF2ofRbVPDDPYI4GfIErN+UpyOjoKN0fFcaEFlKux9s4Z
TlW2FCXtgQThiJz3DO+Mgf2aG6Lyb1v8///5+K/keptqvPuOKCt72zAKYe6bV/uPbPyfHWD/5i+9
/u//nYB3rH8Zmgmowta5UVOGJt/xlr1EaycV3I49Y5n+TsBbdJFCCwTebe5ZSrbkL/aS/JclcevB
PAGdrUm2+fXsJQU6HGgwU74mad4koNYyl37O9fw9/AKMwPn6T5IQCZequuvlpPIRf8wE+rl68Pf4
M7Xg7eP/RVais0093RYa3ZMwJkemtiGJlHIp1kuSI2/e6S9SV+/9mEXC6m9w1FDrNpnxV2hUPkr7
o9TYT4mxv3/MAky14BppWm+k971KZe1itMFgugpqxIqq4McUol//QX2RfSxs9U+GTJc41nCWBy0C
ZLZETpC/n7F5oL/hEX/9ovfpRj1NrvozCfFVbIu4FsEFyYZIXGptjDujrEtU1xtWXK08qFnQVcff
//13Po9XMNebzyN1aDgVUd1206QuvTucMGX7qJeTo56hoXKsW/oC6/L0+z/2zufxCsV/88cSUoLg
hCOL0g44Er/RUPn4uu1/+/3wr+P8ajIXXJbiL7xR6/vYH/9DNSpihOvx5t/wona0lIu8h1a1b0U+
N3dUfFuk/1VfhL9f5zzNb3/hP8k+FkXlD97VO9OnL8AmK0k+740+/+dvH/0XBJ8MgWv77x3v6/C/
fg0/f2/4xTq3kpnz3uiLVe5vJBAdQCZKIrB6q50s8txa+fiLlU38xeIZcgPV3IyBBvhbsizsfv/x
/voXIG/6efq1Jk08e4pa168T4zxMUuuyGJIPKE2/Hlzqi3VTRKOSUaRENZGPFmyZsA4a7qGN8mPN
w0uxWCZrW21VoKw2IA4t3Y++oWCQDGNa/P5+/PkL/0VgiwVdikSRMfeS9VyIFJCGEd8U3Z7itIad
KoQds/LPLNYP3cg9uy8Uy8UXKhDbS/Cu2Ge0ZNgXYdMP6+JYLBaJEh+bpw+pTdvZeHqIqzG4pqrk
PKybq8Uq0ceDrQFHceB6zA0T68rSL3xjzMvPsWnDAfz9X3nni3o9r79ZLQLbL2LbKmy3SgwI1umk
Xju+xmVm3fCLaMi9EMB9PEm3tRBPbtRoMJ7lhDFn3fCL5aLtrNyyVSndLuENNImf7o1WsYqVT79Y
LNpQz0a8MrZrIDLmHYx06tvUmG+nlX9gEc8xEtTSwSNBtiMts1Oh4bPeV2Qw+5tVE/TaOebN68Vr
odcaDH8XUWX4SIqvvhlCH8vmuuEXgWaNFc02VNNCu2k04bGZ9GEGQc9mnXV/YBFiAxkXpL84deLa
L0j7pKKj40RrVB/txfPK84sVSVtEGSBPX03xq7lIxLHuRz5SoJuUxsXyzG+8NN4PvhgpSAN1f+FO
2WcfHKHeO+MsqYZccT0awPcshYmdFGeBUnvQDSaUw+HeJrOGIyxroqnboi7B1EVnD9/aSaPX8/tO
bWS7coIXATp6UrHsWPHc1CKZTCodtZyFLfr3r0+bI+VX0yt+3g3NrhlCvN+Oq6tThYVR87oGe8Y0
JWiFdGu89us0/1EoRp8ejcnOzKtB10WGR962I/KJZHQ+eJR3FrrXJ3wTCXYWmUXekyYn6VrrWzk5
34uBvknr1lF1sXO2WkX2PQJh5cNhoekLLm60Bem6dU6dv943D1/q+K0UxXJc+qirEfJHm3YHbViN
9QefwTthoC4CucanaooBTFsz9p44kX6sKD+hPK92VFFfm7u3VKEE4jL/a5HOWvnffyHvvJa5i8/b
X6b3WcJbrqQrbbppbgo6i6abERXGyiVWXQT438DCtjS1/f8pq/C9x5//8zcvRnqOSr1omNy6xUk0
ZfAJZFVEHywS742+CE6kJIEycIlD7xGSK2xwR3g4L1Z+VIvY5BpCc5WQ9DVC/2yD9eAz7eY+Oum9
9+iLrVOjkokYxZ9c3xqby3bMgBUlZaBFK7+bxc4ZRG1T6NinXVK7zglLebzzaF3urvkqTWcRzXrR
mUUTM3rjibnfgTXjGbWPWJq/nhv6oP380cDAn2zkBTx7Ax0GBU9HM1jLWLXQmc4ilCOE7mpP3cct
tTA51E42e8SM6fD7mZnD5p8LOtm6n58988xgmjSld3vF/A47FV4QvNuCtie9JVf+gkXI6jhFyKx7
vasDkLlzmpzKp5HHq+5Qr3nGtyELgFM3+kn2bm5QmrUds0Vnk61bbkxSlT8tCGx2UOQ0vXHhKXka
Jl6aRFgBGejd7+f/vW9nEVem59cx3A9AEFk4nCE2by5az0tWfveLqIJJr3QaMotD1fp9fa9Tjkiu
ge5gDV71+EsVYKzhxfc7COXQLqct/VCfR8ylH3yb78yNvYgrM1KAm9pety8TxMB63cJTdZAdrXv0
RVzpRWQIL7I7Zl55rqCCUp8avHWvdcnNj0H5KUot/3x0Q5Q0iutggq179GVAmbaHOETr9k5P0ljM
o9frJ2Z+HW/2wFjtYIMB9NgPkQPsHw444hRwD+uefbEHBoZpU4FVGd0Q38vQSA5+6K/LBpm2WDw6
AhA79BkcoU3qIvmFuxrLYdX2DQX659FpyGR5sHS6vdl4MIG0DtxB4TWrdkDTXsRqGhQiy3U4Vhke
RryS4fd2LoitmvXXxodv3mmNeLDIA9R+aRzQF8kwnxX8BisHX8Sp6pkVll+l2ePly7DRhiBBMXmu
e/JFmJY1QqoMriQGLgc9dwSHo62Qsa8bfbH9WXoE9xmq/95yWu2ypjxy41l+8l+h3v+TdTatRZwO
rQGriJGRNVaIpCbKyOZOaRS7XvfNLNtdiJKmHG3hdy5dsCjBK4Dy3aIXzdd1s7OIVS30RJUPKblP
r07OnKjWdnUM/2rd6OLncGorr9ABbrZu4+gvWkSl29Bv1w29jNR6jNIRmbYbBsoVy+PziEtn5Sez
iFMnpPOsllkNxXYUwG1gPiCXy9e90NnQ9HbtzeIaO6Ldti49bUPsNRjGBXaIVbMiF3FK+bYvMLmD
F8S1gwrlszDTD/qLv7NVy0WU2mGPwTZSRpdh62YziRpEyVjr/rqld9kgA7owbnmjalyHfslPRsM6
sKnpn7LupLFs/EDLc6EmXt66aV5Nu3ywvgQh7Oh1077YT8EMlvQ7rMDXjNW4TdOCR48/qry+N/GL
EHWAsoaFAvUHJbpzade+dpkoXvF53aMvQlQ0oqkaOrm4gMODjZ72Txa6mXVjL2J0QvEeeUHcupUJ
GEKzh+ektG/Wjb2IUaM3BmwjjI2A88Fox0vTqD9oNfTOhJuLCIWzDAlB9yEGe4oCMYgGrhMsylXP
vWzbrmlwPydFKHtsDNfpaD3bFR0V1429CFGYXh2rOXOCPu8293M4qsHKx17sokbRj/pAXnqfT92x
6sW5Ya7bQc3FDlqMZiPzguqbTP0LOx/crPI+aOfx3otchGWY0Fq1bXnoIv00AZaIrMd1E70IycQB
Co+1RtkbQfylGpxbe5Lr1ilzEY8t/Z2GEb+mO9aR9jCNjXCh/da7dQ++iEg984YsCp3GhchIs6Qs
Pjqe87Ru7EVExklY0wpIVZAicrpVVJpVOPrKje21VdWb0y0fdlkmKltyEMoBKLqhYDwCT7Hq0Y3F
tmnXnQWpsVP2pbyv8p2NOGLdwIuIDPygNGhW0bjQfUEz6WgKtVI+rBt8EZNg9P1xzLBmwlM/9gn1
8FLHp7Bu8EVYVm2rxkrC4Db9K/S2+BoaY7VyVhZxifFuVEvbqfdVqt+YjI2Kde3Yi9DUYNno+qCR
2RW6etECTj4Diy1XzsoiOgNIHrSobPlQTBgLkxp9SmjHu27GF7E5OK3RQ01vXPDjDa2jDU/mO8EJ
KFy3tBiLAC16TOlIgBrXNwqQL91n6gOfVj37UqwFYUetpM68tK0Ph7cF1EVXOWvdOWKp1KqCDtW9
g+fcH4Yb7GIYD8uVEaovIjRKLdWwAr12MdtdYoCQ4MIssW7GX7kCb1at1q/QRrZd46oFDXTBFEdV
sO6QslQkVVCGRx+htotD6hWuVW1psvtj3etcBOhI0r+206amSC+f/Xo4Cy3zft3Qi/gcqobWzgK3
wKgl/SbJrRIobLROXYCt6OfLVW72mQP9unKp8mCjmPIrS8fzte7RFwHaFqKOA62v3BwJCaz+tlLO
wZKPd+uGX4QnzFRWRaPljXbjt5oT3FDbX1YNvRQJNWw8QQEL1o2lfzcUxUlN03Xf4VIfBPg4llFi
VO5Ev4U9jhCxU5Ls67rnXgRniNujroa4dp0Ae40xXqV0iP/90PM+9ouqyFIJ1OMLhURjVS78GrPF
PCSjy1IWWNAigbX8939kjpdf/ZHFJmrGdLGKc7OiC5f+kgTGZ6WIH9YNvQjRQc2hvFpeRfx3ONhq
WlhonbGymiYWUYrd3wwrXfDghvY57UBSA5R7XPfkixgNhrKIK1zOLrRNo99PejtCLrGTIN6t+wOL
ODUC37dbO+GTHCDnpuIhLFfexcUiRiGWllyYGdobndtGDa89Xa4rci11P3DCvBR/UOXqOMxcxRbN
reb34Sp1rLkUGwurU8Gm8CV66jRuRggDIFPXia5MbRGm6eApUF2Dys26AlJ+Z4HS8ldmhzX585Le
VEbbGrR9cFkez7tRnCfmsC6Glkoip8fMhXW0ci0PSJoFuMsB4rdut1iqhRy+EnUQceVqeXeja+VF
pTYrn3sRnVVIdUL2SunW0v4catUtjdjXXeLmHtxvs5PeYKSxX0SVK5mZjYNwe1OOqb1uPVwqeho9
KpUIjjB1GzzqlYhvaRa57gi6VLjTwCwYM1MtXT/UgRADaen2rarIdROzVAtFkYOyC7qDq0MOpYWP
lHdJqE7r3uhSLdRhOfbQq5Xu5FQCPIYBXQJsxar1cKkUAiREr6wh53PJHQNfI6THuAYv53TxB5up
8et9bikJQuIKk2PImHs/6GEfkDxz8YyVK+sIS0XQGNMdBxth4dq04ym3XV+kP1rH6ldeGtX5d705
p+N/V43eUTBHB2O9S32aKTBD5rpbgLoIV8saBlvtVJCgiRRbVaLN1rn9rny7i4htEowdtZ4Vbm3Q
ZXajTSL+Ix4H+mms+3oWu+kQVrLqB+YG+Djg6Cb9NCTauj1PXW6nIu/p/NQy7xmNn8darQ895MPj
mic3lpIgeo7pY0FzFjfyzOmzmtOyyrBsEJ7rhl8kjWioXZhi5LXi7i7rg9XSMBnMUw5add0fWGyr
FONiQBIdMw/J5lTNjZTKZF1u3liqgqyYNqKyqWgyZTT3oV/f9nFzv+65F6deejT2epL4pWtlzgvt
oLVNYBgf6VN/vdTQAfrnUC1JmdvANgtXryL7xaKocGzjtFv5ySxCFebcME66mbtEKqRIpC8Y6BVr
v25iFqFaASJtioTRzW5sN/S/OYuzj3wm1hwz/7xrgE1aTEw4oICzRe52kp4wEKSziMXGCoH0+zTX
jI9pMfb3bVrDMwFeLt0mCErzAYubVd4YjllX946VymNMXTI/RjEswY2VgAe5AoZgq/1mMqKy+gRR
GWSbOpYZbWaCQAE1w8FS7DSTXDs957Du7xKNLNlWUqUeAMMpduQKC6jFyaPj/UgHVbIJTwri2/Gg
6VFt7XRwe2DgaME4HSARBjVuOzG1h1SIYdrVXapnLwMML++mMaQSfak1k36QNizfzq0Gfu+ugKcE
grEz7W0GyzHeyhFi+dHXct+5kHaGl0otJ3EvbKcHhy2rUxHW1eSquQOft08TWrl2leGb+87q6Z5l
JkFnbH3o8TnnWccZ6TUQ6tYmzcNKO4caGjkn4NEN/W+Z7X5r6nF3miYlvYoT7tYuIs0IDp9XedN9
okW5teoUgid78ZKzsEGC7uS0emzpDSqii2Dy1xlLaPj78+CgYDQTnnrujnTVnXvk9ZE7QIFZd/qD
8/nz+FoWapOiR4Ur/dQc9jj122ljKWZc7tbF1+IPpIPRyrilQ6qE9weZTgGhoTvrVuOlDk43vJFj
dlLQIDX97hnxPf1UV77VxU7SUacaEsFzm63n1k5yBj1/VerUsBd7iAkLbqQnR+EKx6Gll+LEYJ20
fOWcLO5mFcgCGVPSdH1BP6MhLn/IqHpY9TLtxS4SdYDLM0uli9/YFldYwMIj3RTSdQu9vdhGAhmq
bSZk7fp0eLkwON3jLWib53XPvthGKujuXVd0uRv/b87OrUlOXNnCv4gIJIGAV6Cquvp+sdsevxDj
ti0BEoibhPj1Z9V+2q4zsx3BqyeGooWUSqVWri8VYGIBzYOrDrjF7Bv2a6kX3MNcFci5P+Gi6pcz
Efgo076uCORDvy9Ss7jRDj6BdV0IhBEc6pJVFSxr6K9dQ5NcTUgbDxuzIFIBiAeTvhzeR0CHodoB
GMO+H7iakw5QFBKuAglCSKIcboeAWNb1zgThWu9lEleBwoItHHc0AKAsBJ4zgQtP+979alYCEunB
ru16NIvCS54zG8OdewDVstj3/Kt5CcdvASFTj0ADy7hbCbvrbzjT+l2l4Cihv0+dZNXDpifkqyhl
wWcuqpZTEs7JvuCeXO1OsPlfQAtD/G1qLYrJDSJfZq13zpqrrQMQDYD4cE6GyUnHfkr0A//c9AKX
nF0Dfy36Apqma2TTwnyIJzY4t1lH4BQGgtcf7g7/pTctuhZ+oWWzqriCodSmCBs/mba2fVElHYVV
DwyGPqFp6zEIMtWUyOJaUIoyHEaPMohBbNz3J14tbPS68nBpkH86D7MaUG0aAT8IGEWpXcfo6Fog
xkO24cxyiUzVTKo7XQvYGfjBA6Gz7y+42nG2cBnRNUoBWmKkbvPVNS6Ck1EEqsq+H7ha3hxunyPc
lLqTXyhky9vyBer9j33PvlraatZ+zpatOxm4QxWrYL+2Od774lcrW4AMNMFaTZ9sGB0VbW8pnXaV
AOC1+3vQ0EEQCliroxslslPRBhGuGsC+2TcoV6t6lmoUxNnuVMHz7bBIGFnpuN65VV7rxFwCf54O
XxT+yGvwXcPW9WMMsN3sevdrodjURB1wpDDiRTbxmNjtTg3i275HXy1VseKekcPl9TStVN4SNaYX
AJzbt4nF1xtwy2tAd5k+sTYFVK5J0+FWJksn9y3Ta8FYlMEIknehPiUx3PyGLL1pI+L3LdH4aonC
u1nAMbiGMV8k3f00wlk5mRv78r8H/hJJ/uGMHl8t0gx+WOAoYX9XWzQgqQ0nkR1USPr+AO/9vtuX
Y11ryFLPq5Qz0cPRkM0ml/HcXJZWCHrt//47LqPxT3/H/1u09TTAiRVzM6Yg1IWvglQ7p/3VkoVB
w5yGI94d1bW4hO9lk28LnNB2vfi1jKzDZAxaqAIPJBmrV+sD89bJeF83EyzTfo9lqu7IEtIJXCTU
M1+MZvFpruN036BHV6vWoLoQVrpTuAy/MMGH9CUAYnfnwFwt2sXPHRzV4WLXclg4FegPHP7aVAae
4r6Bv9pbYeJSgdw8qtM2Jt9RO3rQifyy79FXSxbMPtxWw8MFfaU9aPDDtNifjg37LjdRqPz9o9Yo
U3Syugy7SSsUHKf0DLPzZd90j+jvT+9ps6zbiJevYI18iAkFna1dd+5Q19wSkKwSH0+ov8G6lXjw
zaBHAAKsa+y+8sK1pCy1YDYjs1UnIrkvgdQNn3v0873u+rLXqjLPa9RwABaH37JY4XYZkvCRUgN7
xv/9/P+Ipf4hjl0Ly3jEwOnjC6YObAf100BIt9zUcNIfjziILfSIXlQ+lUOs1v4+8DgV3JukGfRf
FMBYIOUofIujwMcA/1ULHAp80LZPuotXWuhh8HWxCVlt3/vK18uxM9hziyVu1g+mo+jOmma+9bW0
R1YtwNBv8JGAAaKuo+2TJOhveWkvXg+fujo14PMuSbThv46ukCGUn4+NkcEGU+poqh9ADentx/8e
lH+J7deCOOgaB3rpGT6IijSPNmuze1rDeHhfILiWxPWgI/dRaNsTXcOfnA4vGRHP+978KsbgrOl1
wF17Yht0topGZ9pPfzKjuATCf5oqV1FmWQIttmltT4OB38V5nDZQ5TM4BI8g4tkMbJ2MA3S67y+5
ijlkyOCGCEzoKTABP0StA8fVKPF539OvYg4APwvOiKw92T6SMIHevsygU/zh+14G+5/G6So1gItp
vbTjAma6Wuo3qKqjp1SK9e+1IcEfanf/9hNXKUJYZYmgZmgP08paXsp5gFl4bkcU20HNQ0fbHw7V
//LJr1VzkCeIxXIFsuCFNnFc4pVAHQbn61pvKaC6du+107WIToA3BOS6wqB1NIDQjX9BINq5gdGr
vCGAJwgKAcBgE1zHzeCUzIz8IUD/y5e4FtElDFrODT24ZSuGZD7DATw+9mmGe38urAp3qQsievn1
/7qdj/FsXtdJACeNKYHP8yy+ZkOyr7U1urbTmnw21LUfm1OSxPMRmus0ryTZeVi5FtLZGqVIthB5
qqM0OhrrdQl27b5zHL1ayMAfEKUSVQHaUN+GsF2Oer5zzK+WsWehmvoZj9626FBlw1HXdN/58FpD
52EmVk9ZW5VtTe+SOLgb+M4q3rWGDrLCi2FtXZWmccNtM03zKYjZ266weS2hq8CKtp4FmOxETAdj
RqDUMhUd9z39apWGWTtWcRjUJzg6mzuoXr8Mwu8zh4Uh7+8rSPBEABgA9KTyVB2XbAZXeFD7pKjw
Ef796YFfcW+ox/pUN80AukF6HyTjdNg3Llf77tqEwzKxPitnHdXrkVL32Yxtu7OoeHFQ/u/YIvts
HlTUZWVnB9zd9qdm7Pdt4tdSOi/XVWiBRErNQL7B3joEDTb+Q+T9lyztWkkHasu8ocMPi2iyfQ7V
WGE4HIX3jfnVBrvBR2eys6nRtaR90QHICt7H2GX7BGlAEP4+6Jn26Llo4wyNVv1G81RV410PuPu+
PkiAun5//sK7qksGlpWgaONW8gUqgD+MzH/Um/+Q3lxr6SK+EfhHCXkiPmD2Lqx1jAYjAT/MTzAz
6gG7yMCaSAar4wNHdc0VwwzEFFwmDffHAYbnw2EzRNC/dRJTe6pSVie7KvAsu1qHKpvBuUjj6VAn
63iMqxk+vEG7716NXQtvGEDLm2oBkGFOS6gs5k9oqVz/MK7/PJ3BBr76YgBnVrCdmg4+IVvehu1Y
JO2++MSuDX6AXwJcaLBgJmhYNLjZ/wpHua9/iF3LboLN6KFSbDkIKObLzElwuSjat/asRDgz/j4u
G6TPVW0RTBNDv0+avWlJ97VUQnH4+7OlRhmpN9FyqMMROEZDq0NVQTrzv9/8Mun+/0Jh184+irQD
bXswoHmlYvssF10DS8opgH/RaDDz//fP/PPEia6Vp2swEHjNzJcSwTiLc83AYDnIqQV9c98PXC2q
rgarJSUSSONRcmzKvlm6QsacsI99P3D5y/4rux3ndtlsZZYLHcMcQMdwpcmifbcr19JTHFNiZphe
DuRiR+fiAe4EUbKrpyAK6e9vbhIbTdWMh9sFHt9qAlm6V3SfrjW6JjBGEjSeeumWA22IAdqIgA3U
qe/7Bv1qXfVtmoYhiCAHS6XO0yBA0+IahbtyOXYtPBXQV4dRwOZDDzVZ3rejeFSg2r/veXcwFn4f
9sgZwwgf5kOQ4aYvajdxqH28a2DYtRVdPTrSQ3wwH+BtSp87oFi+83BLdq1Wdi06BYbVDWC4TYeu
A2cQDudwQYqAMdo1MNdaJ1DoK6B+ENBimgalpTEoO+uyT+vErv2+jKySeeZ4uhBdXaYQOhVZ73/s
e/WrKNM2GBroGceDWY0vaj005aSrXUEAloq/T5jMROGs43g82HaxRy1TCqhRtu2KAmBL/P50D4Iz
B2RoPMxyU0cytZ830sT7Jsy13nGTOtp61HoOJpVJodXaFJCk7pP9s2vBY5f4ZE7SyhwCHYxFs5ku
Z8bvc25i13LHKooUYJ3cHEDAk8UWa1WkcH/ftS+xaw3YQkCVXUaRHpum2z5toVnfm7D7kx37ZWr8
w+59rQKrmHNkgVj5AIot+lEuwddQ8qca4b89/eqsGxGCcrXPsmMUoHRug49edZ92LaTk6qTbEqCo
wJxIjvD5qlRuN+jvZrlOX/c9/mqdEtUzQJDHDOg63UFi2qwcPDMCEty+tXpt92VAc0JGY7JjNpG8
yeitCnfuSsnVQoUR1zB7AB6POkIqfNFDdPuEt+xa+QXGQV3JZMiO28X6qHUkKiKZun1x/Vr51YRK
zpvvoxIuXGANmueQ73MTZP8R0/9X8hXGEBUx4JPBHHenpgvuo67+w13/v0zy/yf5go2QHFkXlZQv
GuwvA9L8WTq9fN41Fa8VX50hQ6OWPjlGPVlhQx5N0e2lVe9PfoKXxfgPIeDa76sOWhOlruJHbYLp
Zq6ArH+cklCIA/pUk+oMqJ2TD/NW/flwDX7Uv/zo1fJNPK062wwKKfzqurUgqlbUHNoWq04dZbW2
YLb12mEL69iAvX1t/Ngl514ZLvURB+um1bnaWuvPsvJB9TdjDrK7LoSktc1Z4zfnQIsfzXDfcpKa
BzuB4c7PaxAlA+BlmxJBnYcsq5nIxzkxOBT1HJ8uj7OhF3+bUeqF5FGb1PrMthaOzKXHgT4RpR+s
G4vWs2Z9g4Wcs3Uet0Dx9XnnwT3scpItAYCCmYe9entDTMthH69Rs5w1kIGjWvCCE8jUnw3VSOqa
pEl/aaPxz+MyRLbkkPsyMBM72xZgL9L6tAE5DepSG4LA/nePom2y5OtIQuLyOOVCXih3bfahxeK1
RSPn1o/g0o51479eRHo3ZtN+zTuYRk2Fc/VEWkCg+606bLiyoYeAVutUAKo7NFlhufOxLqkFyvaO
pJZnxzpeNoDC5dD7GzjtdwUwtpY/NOFSp2VYM3CuZQL+Y7emOi1TDQPcfB0EHzroN5teinLOcPZJ
ClRIVtHjzQagRPOU8gR9IwCWV1GCIyRiCdfLLb5WL2ug/5DZ5RkJFHjLuqPfhlnz0vltTT6WevPs
aMY+bh+3kab8XQ40SR7ZDCTp/Qba8iJKtaFHJTpmbiFwRNh4sqgHdGik+F6mrg1eToRbJpZjCONh
ZGM67Lf2xnO2uu9DCjSwKHqLYjAItE2afSJrsk6+AJm8Sw4iDS42kGpRnQvQxbJBtAUHnWSxy8Hj
W/b9mcYopNEzb7sUDGreZkfeyq7oOaDiI06WAEDbS2Zpp7twmdqDGxGjHnkvlubTulLRpZgOPV2O
DYuBf+2FjChcYqVXJWocMv0rnVnX32XrhiIQoNDLOubOAOCscgCOE4oMap4ZYwUocKx5IW068iMM
VlpQx6kjqGqHM7zVNlwzz1agdyv0E5+h5OQwWQvV8p2qAD0zo00i85bEmqSlrKa4+Y46SKqwaHTU
23Jq4n56bJdQ8E+QZw362IB5TMusB037dosD2t4T6drtR92pfolKAAH76HHAopWHzoBhfDaaNMMX
Geg0pAhvreBxnugoM4/hPLfke9RUVerzSmRanJyzNr4NAdXtvzaO+7iALX1owlw4RjJYO8dcfVSz
E63I26FNv8eMD+YLuss3WeB2CXsXOhl6/wBV35Tif+6D6KNvRrudNTXef2q3kJDCSKykD2B0Lb8R
Ld0e5ywUx5AOafOUjkvCD2FaG/k6tHLdnh1aGGiAm2j4BqTlxYmYnycHlOavFjc38g5sVDCL+75R
1WmgGRnvliEDxbOJWET/SjnIkT+Ia6tHtJAHt7hG2j7QvKHzxsUCQO2oCsq13lJ3Cw6D3W5gHsS+
qqyOAIxWUPa/JF6q7pGIqgYis68XfwgG2aw3mR9DfgL5ug2/hLxqq1c5ZMIUxs8BPBFBt53QJqL5
ZG/tNsXjwxRuc3hmhhv1GfCLqn9a4GIuj6Fs+6Sc18YidroY/PYj9NNkfBgyyz8UPAG6okL5xD3J
NRwRSmS/ugOP+3kUZYjbKnvXNjA4PlZiMWggCRIrPsl0yqKzBp2c53MVjPy7lOAVF6Kb2rnJ045U
Ifg9EVvPk9LTXM6OhkE5Tx0lAOJuzvzF5gxvUMahILAzXPEWdSCmMW/WYOoO3cWSByRrhO/HwaEx
7RCb0X2joXccSDIBtnABWgN/QLokflZYwknRKEk1qOou7r/4gcUxDI60huVZztptq89uRpfsJw8+
3VjlcgCQFvF+M67v82bGNu1yVLzt9NGSeRavVm7ZHVgWI3aFFpY12avCoy5f08zLeICHO647D52j
Os7RANrFJ5WRrD1YYJ2VBzp7Trc7t04CZcwViKbsBphcJIpoZ5PyPPW+DwB+revgjcftSEsZ8SUo
p9CSrEz8tjXvY7ix5gK+dtlp0X1QlYOjlb9nwM89h2Rq6jeUkqlvAfhVc3aEu7uYb7MWx5hHjxpB
eozaGpveXFXxALF3JNd7LcKmLfptJHMRmTEJ0LwwThVY3yGmEXmdw1ajI6OL5vm5XsOE3vS4N24e
e9jd1UNufQQSDczF88GNGTkTlk3zUzwNQfc3rddUARzMJky0TmolfzCVbpgOGr5t06EXaW2P+MvW
5hBrkHM/89bK6nYSdcPO6KTl6mEZKeBVB8QkBfryErDq5wa/ZBibT7KJb6a+FgICZzQaYaKkMFO6
BXjamxvTaAbhMIWQODxMBuhD8HN9R9+6IEtvrVbZe0pbFL9gkx5XnyIiVfALUvu3i+j1BlYq1B9n
PyZvkH+uv/ppCF1JwDxuCtt07S+D5pp3jTaM+IYjPJPcZkPrb4jrvrRj1JSwQ65fcaqBR9IWBgAS
qnHTSZGtFFNfh2AqPFqz2sJMSNaeW4prw6OYA1q6pi4pXD1feNJZ96A26qOyrpspftPZkAZH2Qem
kGtPcwAfQkwD7VQRLvE2fRsbimNZ2sBIpZhxFnxoZvR9PssIboolZE7VncM/PGxCCRCzgwi1Bdqy
tWyi0X9tx1GA24vmLX8PS0D2txzHNQc39kFqcIHtNAXshD5bw84DFFg3WZJGbxvRMIORGVb9p5Bg
LeYZDSzmg4oLSrHvh1lTdyWizjQ8bsGSHmyadcUSVvemCfRnePbap2RBiC9jpVlZD/3HFsoh97qq
vwF/0txHzsPt3E0oD9+0fPQRMo557X0ZjjGbvwxEoH0UidYWw75whuMgvPpazIO8d0H0iQLnQsva
GdJ9pJYh3gfoTrszzQTJegPRsLjL2LzaX9DXzOBY45Z1K8OA2vguTeZt/ZF02h2FnSFdziUM+p/S
YeayGNZAmhepEAy/sV6DYz4FhslCt36Bo0olItXnLeDm4najZB5LaI7m5eQmrh+cRjIIFnryzOZN
k7JriNAYKomWepUFQ/VMjanWI4SRXfcKzdrcvME8gd/LsK7sSQ/e+8cE7g2mHFdczJ8jWOXYXC/U
0ZytwyC/Lt0owm+1ZPapYXR4NuO4ydzBgn2yKMhuK//oST2Qt7mpefCV4Sos+BJxRFLYNs1zjC7a
SPHYF0k9WloIAwLtray3sRiGJUHtjy9LVSRbbI/pvDTNCYeTzTw4aGKeM2y2yZhbpyG1EvEjzXRX
+ASUwbGCLA/xe8mDZqkgP5ZLQcctOaw8q89e10Xlur80qFx5stbu7KCja/ruC9R4vvCsjwoqo5bD
3MQBlzD2mcL2hYautKlCmLQtvhQqMsjsJwOcns3Ifd3NgQepWoY3sYP+1le4FI06Ph8I+n4LpcYh
r1kM44iRd5+R9X7jbfy0EIAZyIwlGvmLElvTFfkn/yrq7MGyrOgHgpVBSHiSrbId0OYNKulBGL0R
7YYzOF0tINqNYieAubNiQRPn8xSq9DZokm4sQtE/4pwx2xNVAOhafLNQD49GDhLt6wRWsEeTNap/
YNq4AHsFHBbuMi5Y2fTDvB5jUkf2iXThCENnXNxnn6K0c/JoFehIzwOV7Gs6gexTTlGF2lJaBzN/
9J2pkmM4No4+4UKTda9ghW9PcaQUOQGO3QdrPl3KF12EiIuOC2gg05MlBmeTrRPZXYWQadYijSLx
7KGsCoqVY/W+Tpsb0HCPvmrqCthkVm2RZKQ2T+2EGiYGT6jhwDz6ttURLZDkkFas68oxrKgpSC0V
eYgWIxU85KdLcp1CuguwfZbamJZ6GUKy4CHoGe/0nByaVMGaK980mj8/GXRQsncx8f5+7Bak9YUU
TVCQBtaDmLrpavPEcQQJusBb40ZwZ5BUJivw1bmYcZMLn4DRAYPEomA+Awwvw5elx8IsaMyHsvVy
6U7tiv3krzgEkf1Ik1YRYGpGmOuRqGZp6RMlPzILPvzECHDv6bJ+7bpKUhx54qqZHheo9RDxRqT0
9S2rjcPdf+WfUn8B727jxu6mNG3DQwq40Yr0DaluOW4Ri9+dsoE4t7yL50+Lqoh97UZwt3FPMdBv
oN6DEB+vdVCaVn7O1mXJrQl++hZdXD1uffNxbeSNnAFo7yL09SPZY8W2zZnJExzIB8h+27d5DOkN
bak7rf2SHZxO2F2Lm5EvCglVsfrmu4CR9RNBSetZEsoFMAXzW+zsbd9jZ7hNnfA/iGnI+9DFqbyh
tUR7wdZMW/YwBHR8Dh38h2F/Hz/AOXTJU+7horKE2wlpy/AuUHIan21gIDCf16RYQK5Ht3P8nqbd
lPs+fcCVDDwGwKllYz6F4g4hzp79mNLPiO4C1PmGt7nW6wztDWAnNHZBIRwIEGWLpYPxWRxiRlXf
1EsiDpgYYHpx4W83nv5IUzG/QFkW3fKwxYRjaizqkL+oeNSfyabWp5Sb5gXg8wlCqkW17ZCvYZ25
KRc4v/mjB1PQ33BLxTsnq7mdG59mZdMNvNDbsq3HbmziWw9BbvTZBWnyJpRjAA3QuUuCm0on1qm8
wlpJYfzgZfijnis/f45jzn1ua72mECcT63xZXxwuzsqvG4yA0pF4A1b0MEyYZWvN+qYU3JLg1pII
HfQwBHDh7ShJlT1OwTrNRwvnivB944ryIvORne+WyMTiG85iegA0gwb0xtSmju6b1SqdL6KzCK3E
jOk7W5QJnwa2MHOA8YjvYLIxcXnuA5upvwKsTHDSYl/HdRlOjZzzJa5xuMrmJamLUSHrdnnFAsZU
7mO/1B9rGrPh3q693b6DhOaQ4Ms5jbF7Kyzk2OQNWuCaA3yhKnoaU1U3LytBNevQdxHTxzlB4Ctx
RhfJebgISg9Doil7QptYE99BEc5ISbI1zs4EjYDrrxq7qH5apjk1YeEzYeXtNEws5DksclLkf1tD
lX9BsSehqOtAhLzdTZOaEIlklyCHMhpL/61F+cX91cZtdo5AekfJR7vkLzKxNvimcX2Kws/ax0Bj
4lpFFpgdyPzzarEtCDDjspZWizH9wuFSMb+nTobp12kaMtqUcTIESFaqLg7sG3dbs4o8oDRhyHKq
URdZxRR9nLZ09b8iGFioH2ON/sxD2oAv+eqVXDNYaMT9+JwueL310Fn4FZ+yOqD9M8f6RAwO2XhJ
EIBHSlD+lt3Q1TcNC6W7Ya1sQ11G27iOfa445wJggx4nahxfmqHwSFKRWCPvmd1LMyNFdKesFe34
rqagt8e+CebsPE3ZEuOLbZkby4Gq1X5rsxjddVy22fRtdu1gj0aEOiiydiF39SAqXgy45p7vfdNE
Ap8kqdHeOuHeqBiNHXDCGjgMkt6XLcpSWFsM1X0v6HBy1Zq+Doz6ecrneNvMk1dK5SMgrjnaHMXC
ALVLm/7oXYr0RYB7u5w3NqHkILMlyafZIX/O52V200tCXCJ/WcB60sPWhqEsuYOdV5+LCdSUmwoH
x/saZnOYdYxodls1AOneGeH7LxnC51iyeY6IysMagob3SW1NgCOXD4PTumFenxIak+R2xn7T/O0c
q0841JLsrx7pfSKLOBNh/QoCmkQa1BDN6yXHJItZkSJOe9QnArSCbokk9WPauHArRiz4zy2J9UFV
Ne+w1Krltg9Rk3tABY7Fz2m38vbW2TH7jtriV1BfZsoBCeJoauhBPaKvHRXVNzi04JQhNMJk3Yzt
wzyHGboeYJnjzipJZWE2D4QOGpXCmzoZmXoYZjaph7FaprvFmL75O4GNys9gaKepXJcAnzFak/d2
uRwp2jbtXtUauXeOjGYuxTbg4Aml3rzmyiX6iPb7jOeNcQLJCYQ4FoTFdMUNBCLhhIrl3Dw69E2B
y5leapewMhjfW7clOY3RU3HG5VA23bMhHYJnlkCWCplb0gl7tlyIWeGjLD6c4FFQNfVhDVnaXNIG
Xr+Ioc74gaAfa/i14uRji0CiFvsN/hrAFo9xOkWHDuc+iqlZ07exxuH65LtmymmDAGpyu4xAJwq6
yI801hN9Z26RtvB6Iji6J5Gya97YVAV/1TWpvqeXZOgmXeGb8Nlz83Nu1RydQ1Q5iCgGHbXLTQbK
TVpkfNQ/+xhLNk8BoSkAugmjg8qi9D/l7JZtGASfHuDYWkU4l6chO640cclXI4IMHfV1VqHWHWQa
Xl+TgblMiQxIu9uY9/2HUiuMDFGLk033Du/BrEHSLR27aebI/0AxSGx3o6LVTy3VlsWgwHtL77V0
0fA5qEIe/ySAwMQ/UCyRqPU1Ir7P+rFF7AilL6ggg3sesyox6FTCbWkkuAif64Bz3M8gqQnvYgeL
3GNmR07Ldd5CdrDc4hyi9LK+weWbRF/MmNmXIIimL2mVkM9Qdszbqa/Q1nYT9Cj1rEqv9sCjFBbV
W2PNF4x5e9eRFkJN3vCJwbUn6s+9zLKhiA3ObLkJqvYres/XfIjRjmhM5PjduJrgOeFufeDZJtNj
X8E056Biv54GgFJOxKjwHAGejZjXseld4gDjn4zo0Q9vLRys8njAafXNLTAt/gbTF1QaJu8i+RWX
HXAa4tZjHKhrGoSFjBHWIwfBYQjV0PmzXDkyUobiGJKrOmziAIbHwEqUIxo74kOcClQC3UJ7kHeS
catP1ITmHUCBpn2laQ9bgxVMkdcaL5Kz+pKaFwjbfnb5iGove0IimEQFM3idz31fuf7YDFUjCxol
xn2/qLfPfae0vluTZFP4jTaYXnFUduqJicTdIbOs2TFNTdDfQBScuBdcrnQHhImuO45x3EwllVYR
CECBCz70LkQQgbPRLb4FCmyViXuD2pGDDN96P79OgWxs0cULUbdBYPV2gqHe9iOIAQLLFXikd2Lr
VyyfKsVwtC48tFm04IQ5u1vWE6Swsu7uvJHxK/T4A3pe4FiKyh2sR1iUVF+DDQ0SxxQ9X/4zKqer
xUY0heTHnI6CJqA6tRtqXZNaTHfucOdWf5PbMOkCXwoWDmkrcQxAxFRWF3KoDBz5h3rNHmD6l6JS
47hZzmsfDekpAawdwNzK8rTOgxhGnkeXscsiDBorBE7uA85tCD5t2WxT5s4z2oyynPbrrLCMcYP7
c8HeWZ3NOIeitPCID6Et1jQi732EDK20LhtlkUSWo3tt5r59rzmshcoQ9Yz6q0J1Lsp1t0j5OVw3
RA8RBJzc8oTouNAZVbTsUd+1Rd9ZFGtzyf0qygbtsuFTZIYxfQHipra5h6+5OSy+inEUpluEDCYz
ZP4IRnBC8hjNS9kL6Ew2OUlvXPLB8Ue5LxMSVH4fT0QlRaSSlj4r4ULYgBscM2Q9af3qYUnRHmkz
hdrnMewjLErysttEHqkZhjGY1CuSwt4n1QACejZVD7IP6+1MonDtHjKDm4ec/x97Z7YcuZGl6Vcp
03VDjc3hQFtXXQCxR5DBPZO8gZFJJnbAsS9PP1+kVFPK7JY0LZubMRsrWZlSzECAWNzP+bejrJEJ
ACpuPnRhJfG1uYQlqqNQz8odoxg08wYnsHR4pxprGWE0y1ltGBo6Nht0bKoI4AlF/1aORasxlXPp
3L2Wgw1+1vPicoccWqqV0Xgqpamn0SuuexDxLMAx1LW9T4qWYR51xxS0s6LTyl2Ccmh4G83Za1eh
44TddmS9HleNUCpb55bl1iuTGUtd5tdNMccbOoycVtkmUBA5cX4ZeMf8v2qVxok3HcJOl26A8yny
xIpsEZ0XKgkLFBqQ+1V0cIbJWqhZOmXv5tKu0J/U1HY+zIKR+Vigl3RV8xjkG3vqjfpDJiLLNXoH
w+4sP7KI5fmqsiLHoZjB+XZspgV1oh1oeeNtHVOZ87TPDNdyn/qG2USnEYBhUvziiZ3a1CCTVZ2F
TPLpk8Zv42l+DApS9ZtLPjuN7+Aug33dX3r2Y6hV2UTxhQJ88dM5jKLzXBgtzUrTWw4vuJ0BwMoA
9lCMna+3hVd+SWb6eZR7syz0j6YbtJpiQAoapqrDrTswf6lqDq1X9e5ZsHhElIpuurxnMfzaS5qO
VbaxI7vUAIhqZZVM6Haa5Nam3OddNj1pi42iNKo/YmWL0fU7wyN/fJR27z4YgM0JA41gtLo3j4Di
7ElpfaXdVBEU5u3gpXVLBsfs5mYgh5qkboygqsn3cQGTy0NiK2vTSBofZ81k0L4+4mmNxBgssKJV
Qe5gIxO50oXTucdRwY2eqK5d50RZZLf3ZZ5mzUFG1ljttT6PihdL18GtnEvNtumrQuv9XJqjdqp0
EsVutb7tE9Y4Jm0GHpVxuZ77wm2uk7bDulUIXQ4PS45gMXD1FtoysfKS0KQm0rovrtOq8MECNA3M
kokd6bActIWh7pSsJHXm+1FF1kw9xeDzwJBT1+/mqvSsXQNvNG7zzFn0JyPuhDgkGdx2oPQCScsa
h7zeAHqUUFcQWu0ktE3dmGYfWE6Raj7v3JWj2gtGWwoCXza6gVmg3iSaAYPplJCWs58zNND153pS
YtXEUti7buq9ZafsSdNLQgrNsff8zIqY/gcqYaQnYTRt+yRa5gR8yMjuixOFbSI3uYh7734cIRtX
eQTujd8WufVNUpa5cwyjvMzuR5cLc5xNN2sPes+QKBA8PBfMuZ8XcZP2sogOU9p42SONHvAqUDrV
cg3U5hZwMDapg4ke9LzMSgtIs3FmtYLZlq63yRC7X0K55TOZnHprBJ5HpGuxLiA3235PAdZwYTuZ
quaGfbqERUFeBjlM7ebN9xaXHbugJ+JseYQPBPEdeJM33rLIE020ox1NLQRa9x2dPEbzQky75lZP
HUdts1TW4rTkFVkChjlX3fOY9B6YdtYThrPpIjXNsW+MkBOw9iYyQr1u3YHYx6ZoX4qBkMKbiiCR
1txcwosNMI1JDC7gwuINaeAV45it5qK5zEjsWudaNKFd7gkkXcZdXareWkXDrMqT2ZK85E9hpht7
e1HCOmmtYWgb+PYuWeVu5NFwqrpV1EZWkVivk0x7+xguUTrdwbTYHRRSHDbLu1UKK3pTWaXne93C
trvXk3Gur0jAaLqHnHh1qppS2NPJsLV2/jrXIlWnZOgLuV564QIKehQiPuR1D0+YtC0i9rqzr3q9
aMegmxmCu284hXTVL6aZBfg8HPQftn2RzQ7uxkOxfJ0PDKJ+1Mcsaq+abjHKg2SE43K5zzLEt+N1
8xAkrbTTN9BEDUhWuJpqgc3pZIK25Dkv1tTUGVsjS+ilwR8bNZ49rRmsYNY0o+E1cesG648Sl2vn
KfAraohGeOdWDrlGdEYik/f+sjO+yx4AmlwEEe3rypsNCBXKqXuracyup9aG0mr8PrcJJxktZp5J
OAJ9ZZlCQylmRXV4bcayGzesn8R6DnmZDB9dOqnpVC2yEJ+aqXdsupY67Q8zIP30yZWFGs6XOFJr
1xZ96BfkNtU+ZWg0rUoL0orNFi7+xp1nTx7aGNPMNXRfQXYDRfECplVnwFWCGay26F77XqtdH4+c
OYLzqwwkr6njOxQ/BqXQwAjwuxSRLhsi42KIIfUGN/SepNI9BOSlDjUL9Bs2ddX5CdZV269cJDFW
gIyj6T9AkCJwYpAavXsFplgSzXc66tbUFyyv3eJHeYVxyWfeAg3nZsLpzJyrcrKd+JmwANgavx+Z
x1Rvi6ETSRqMNVH4FKC6Mwlj1VgxqqTVv7VNR9K0JtwtfKvVBTriNoBNt6vDgMxv69Hi09pxGONI
7b34G8JM3z3BRpREoJ4rs23WwARLj3ZaC7X9v4X9pE9za+c7MuenaaU7adX7yxyLM7Rr2a+ckByD
vybG+3GOojPbZVGVbb7Wvc+p/eAMm78mZ7vI6H6jxBO5NUwU3fnaSu5c0IpE/DU3mOX8oHusiNb0
wkTKDfujDnrkDfpVyzLd/okd/Xey1yzH/P7UwcDMDnElnIjG61fHVdIdi1GrCKxsEZqBUA8pEy6k
V5s3UwtmS2eVanoAUcJ9+uPL93vCuR/8utEE7J1ojdxUDObNVwlelSt0sHVAoQaJDgHu7v/4m35P
F/iDdaKpWx41y3I2ZFvU8r6bq7BfqYgClyCE9hK0S5JJTjk6zeWfXOHfkVL+GLSVInVkGzHFxnEZ
L9ORoLSuAZn/5Bf6vaP/4KdQDKdsZewJRFDFW9YYT6OrwuCPL9bvHfsHpTP1eV2oKBQbmGc6hWbe
J31u/cWD/yCW7AyjK6veERvA5zUaZBgPA8jxr535D0rncIJWFF7ibCJda9nMh9A3Yrb9v3b0H952
M1MWQjeui7kUxEx3HgNTl+r+jw/+O0/ojylbTgN3qqaUxyWWnvneAiaNge7MJiOyXLNQvuoxFuzw
Lgn1lyZNWuKHJSB2o1ESPyQ2TPYVn+y6aa9TA1z1j3+hb07q/0aLK354u2U6W+BBkb0pXC8GevbK
eYRV4X8fs9E5TzYlN/+ltI3S2SYqfUiX5MHgSRO7sE36mCYlitcMGn2fBitWpt9JarFfzu7fv0z/
EX1UN7+cR/uP/+TPXypFlx/F3Q9//MdDVfDPf14+87//zvef+Mf2o7p+LT7aH//Sd5/huL9+7+q1
e/3uD2sK8m6+7T+a+e6j7fPu2/E5w8vf/D/94d8+vh3lYVYff//p9b1AOUK30yRfup9+/dH+/e8/
YRXlRv77b7/g159efoO//+Qn8WvzXz/w8dp2f//JdX8GuBF0T6ZuGqQ78IyPH99+Yv3MPDxpOgAv
whLGJSGvZHhv/PefTPmzMHXpeIbhmY7pXDy8bdV/+5H9M58AVKWZE5Y0cE3/88S+uzf/uld/K/vi
pkKY0HI237a9fz1L0jZ117UMw7CFsD0OyW/62w23JtmkLb3C2qrQsB/SyF5W/RyXByC9djWkU78d
CDqKs2LyJ9N1nxNZFCfTFn0NXdLX9rb0DBQ9lZ19SuM4uWamvXNleCXScDaj2PNbsGF4iMZxPpnL
SOE70kudwiyuEEl0dUkK6uxsI5SLnzzLqb4ulew+xQBtJEBaZnd2pDbd6G4E/NnqWmDXtOyj7pqH
CSHJXd+O9dFuy+rAOGomGXllt6eRkNPKMDXrk+Yspn1UXZse09yzWj9x7fIhS8JF32eJrR31lC8K
hJ2iuoidwUF5W4SPU5VSvglNHB2vGl7YZZDNphpgcVDLOXmCM9IfQzGP3oaamGNb1aQHVp6yRkYo
rN69KIREQoteHaD2o42g/L1ezBTULaULP+lFCrKK4KQlS14W6Awcq7nVFBo+v+iT+Rb5ZroZClle
la6dDb6eMRabmlMU/Zkavf+KJF67g8oL4UCScHxVsDiodLVwyPxWm+vreMoEGjodvfUmJJ7KgUQc
stt2mee9g35x089AYn5Zg4BnY4ZeupfVCTGx2KeGEZEpZQNIFjL1dmYvGoJQra9xl8uaX4sB4Egs
7WaXalnd+5Wn924wdTp3lwbazHy6+eQFPV22p1CUa3RlatNKQ96LSpcb5kQ273OXJwlXI+y3vZZa
X1RmjM9GNzgHTaXRUcRtdeu4s/k42mVzBROZiiCedalhutFTbc2w0LLwMzuN2kCmjjj0EeB+nk3e
Gf24YjRnVkYBKVPFYSZBHEtHCn8BM3W7CCWPVqqNa8PpxUsBBP1AWld3b+ukPe4IY9NvE7RlZLCZ
AtFxKibvWne8+KwcHQmazNzuSjSudRK1NPe6oZnojxkqvu/bxSz8cuSSgkxkxc7QvPQ2ifrR8jNv
mE7h2N4X+hK+eE2ZHbTMtp9lUzhHqc05GsHG5DJVhnfd9FwoX8jSbVF+1qIKSvpBukIv1dC1VK1c
NgaCjdJ328Xat0NLMpfltCYe0KG50ypnAcdO1/qInkOo+kWpIgRxrIpVDUr2VNvNFDReddAh25hZ
ElYrMdvnLrP9SQq8QV4Xk/VgfwrjZI0OrN1UlWwYdSrjE0EL4zv45xdDa+rrwmnu60Z99ZI2DEIL
ENOjW1aqDbrFHs9FHa2kUDYamosuyXQ2VYIR5hyKgqfeYSiOsxlpnktwyNb1E3ua/a5ql+2EVaND
LdiLQ4N3YNStkQWhiK2Vt3TFyZW2s+Y1HB5LQIorTUcCC+tB12oDgtx2DsO7ATAvmabIJePRj7TJ
fUHSk5V+Byc28LhG8ZesZE1csZqg9ahQN3sHd5nieGv1XBxfilxDdOGOnCQfErpfMdIo5E0Ye+00
ohRDR+jK7D2xyh7gEbYWQ6jgseimLUi6vdUHW1/bUY2MtZELE4t0fVtENuK8aAnDR8mlDfoOmGRU
wN2AG0WzymI8HWAzUb0u067fQGgvV3SS+r2bNsuLiyTK8k1kdEdo12pPl5vdhKYbbuBtk68qGcMO
aFeYub90OlMtZjj8xNLGyV9MnCYluevPys71XY3yLcIblyW7OUxATtHhoqRtpXnV4NWBGPGSHbO/
ms+22QgehxkyPqTnLVTVrYlLGe713Gg+a1hWDhIVIdh1KuW27euO9yFqb1I8IANtjt2/MReKps70
dsSmH40sm0/ogPPPjRm1xyhiesuSafe9GrJ9WrrZHYhZdHYQnJ9NLSu2bllaN3V5Ukm3L4ZhvtG7
BFmrtIZHz7OGDa14iWB+kvV+yZR2rbelro4WT9N5BHE9pTErfJAB/h1gp55Dz+ueJSl9T3XSV1dc
5uy2yBb7pRMlY0TqRp9UUAPdnCOU/icCf1BUmAS/rdK+s9YEFXtBK1wTJetSLqsx7JO17fXHfF7s
IF5It/c1onobbYDf8RgQdr+MZNXkS7Hch0tHBRqiy/rkepO1nhWdWRHb1kHmqM3BXhYVtE6avuMe
6PcGrnrEc5BE9zlqhE1/+W6ZJNZNR8O5idCH7kxDOV+MMZ63DhPs1NotzDmwyrwEADYmWHLbwtMm
2+iiVYzy7TCy3aumhl0wHOTS2XgXey2Ss04jcdVFPrb3ljnCd8O8zSQM808aMzoeOzC+02LprO+G
rM2DssO6D8rYMvaRbr23s56t8Bxlb5iYiWVbqlQ9opzCDGJTeiDarRt5mpSbXpluO7vor0yoneIV
ZUHCY5yl1+iGo7OlWljqcAkjEK/Ry15ADoFRsli3tPUcldWtZGhJtx/rZHmoTIo3f6owBult4zwB
JA2PhMy9Y46plm0StvDoUW6dpddGH4Bf0aZ04q6ErZpQdrS2bRM07U1rROXmU9rI8UGy1LyGE7HO
QUnLjhEp04FaZSrUo5zT/CO38iwgpzdfFXECEQye9RynpunsmrS2zl2tAKZYRKcIzMytSIYBxxw+
e2H0Bu6+49Vyj6jX0nWBi8pHk7crEc7qC/d5TqvxMAOyiZz5UTooGjPmxmVfpmo20QzxkuzIvxdH
5rc790NJrIvW9syGL71u78YpRYdYsvYNsfo1RjBuFO3O3gRn2tYpmymskpaukEDlq1KY420U8kyj
bmBrLSwP41w4PmIbwMC9EFKJx6K5yaU9PWbIJ1aYlISf5SWzDtrcXstKaA/uhNjWnhEn6qZ7O7b4
Apoxot6zkvSTMePfGZA4rJuhVO+o17LtSCbHOqLc2qEd8j6D4c7n0HCq96E1p82I+JOhfehL7htE
yDtS3ihMzHaHciQ+xVU/bxD01y9EHizHyaicr9Dd+HFCcVZmkxwLje2+NGvjbS5nEpGS1DXDYBpa
K/bnQUuOOVg63rsWCX4Y6uNpmdMoWU0ERl7PTsNCMk7VWzE05nrUWvhkCOItuuPkxsG3tcFD421k
Z2SbJZXqqg89bUuaahEYIWOS6nZ6L5ylvcE9ds0YsG5nIPVbzQZWQrcjSl7OTnaquxLwtx9PFJ3J
KvVK+5wPZr4LFct6pWvEw5HJyMSm09zRsaGoUIZ3llHUboqquzhIokTeVfhirKBWurGJa+3ImoiQ
xMzT+KGoWVf9itFvSaCPfUoZ4dXLUSK42jCtQrtz9dnSnxHEuPIwhO2EA0hhwkZwbX+lyEIsIKzC
eGKTqrfT2BkfUoxRfViwe9YItzLvfehdw9gsSMBfWnsY771cSCRf/XKlt9oVLnFxRzE5HxinEvuW
3mYkaCce1RzKJ98t0mTGr2a0oT+iuH/IMyPaYeBpKSm9cDV26dESyrlmRejWoo6KkxOZDIYvIiv5
DExjncxCw55PnblcNx0pG77S4UxyKuv7Cq3xifdV9NReaJ6aeh5uM63GfTJLx72yNaPTfeWUiwnd
a+srRG5Gs5qMMsd74JhEDEBlPZdZXJysFrdXwFRAcW1VVCjoNTGAUKySsBVHToXLohNO0BZt6Phw
SckSZHUTLeto0ZHvZKGKP+mMij42SmFRiQkDOUSSEoPpzvsqy4vrAW4vx7JUXJmDI28JzmVA2iTJ
ggrSoize0U8Yb5HqXdQlmXzuY6Pfu64Hsec4SVYFaKqzOAhLoF+IdJeoq5LxFSutAipbh8voPrRz
g4SyyZp5PblSgrFcPDu1QHTn5didCVFbabFnBDNTqrasWq8APh2mCzjm2LXjbX6hIaak25Kaf2PW
4mttDNEuLCttP6UheeKFttdVvLNFcr1UiBQGRxWrPI26e31scC9hxtuGggjBjGjCILdJM720GFIW
Oy7EEqAqKStqQ87k4Ijyqz5zSZJI25nOpPvciMSnRb4YkDwN32D8yWvwpwCLP5A0MfsGeagaZYdP
OzhumrQ7087joxxd4nDbGmuMtrMSRO40I29aaJ0ykaIrwuKxIGn0YbVfuso8RjqtGcPPwBWx762Q
oM9+VsXdngl5y7oYjcFnNueyChNMJVY5dMRz9pznQPaK441kAJBohG4TIen0Wgz1qu3jHcKseEV6
/3npZXYzWgX57rG+XPHu2Vtlhd6KrYcw0XFuMPR6pnVIyza6C5WbbW3UL0FUYxit9R7vr50g79ZU
aWGubzOKUm0etiTuhbeIL4wwQMY+W4Hm9W7NvLauOTlznyZBn3N93SaXyM41JCyWPexsTYZPvWH2
n5kEo9IgjnMalrRzkuPUXuRGizkMt7meFmihIuU95XYxvXZWFB5b6Dqxa0LlU9CIz9Go+mjdIStM
AwOebzrozMy4c1Q0FWvHsuBg4SR8Ng79E769/B61ihrRyNuOvtWyvD1IKTtqUBdxI/yz+gR5dm/N
PIp65z7g7xRHFhgU2Ylyd1Nevy4Kxr3GV7LGboh3tfXWytCHD3NGr0t1qrvXSDbdHT1W2fHKqfx5
dl0Hbm6ucfA04fDCm5UEiVDI/Ioi3hbO5GBDYqsWCS2ciULrkC7mtOtcUALfRWC5TsxGHTGVAzDg
bhufImQSzxUey23idD2KJtnKR5fCxfYjh3gSP0yt7Bdc+v82rnaVfMFaXH3tfgTWvsPi/h9C37Cp
69K6xFT8PgK3en1vXv/2Wr7/7fo1em3+tnsdPvLkt5Dcv47yCywnrZ9Ny3F1gC86Rd27ZH7/AstJ
82fPoCDlOxlz55qXOJh/wnI6iJ3w8Ed/g+vM36By+s86zauu25Q5lslT/j9B5b5nb9CUeERXgP55
UJKcyI/zUNO0ozgN83A94oZN02nr2CiBWnOVTX822f3bUO7f4n8OWwwwo8sX4qTkUnyP/0UFoJMS
bbgWZQX1MdzNRb1jyAuLsoDJr58LisNuBJvbaHI5E/egB/iB8sikB52OU64g1Mw/YXh+QLgvd4Sz
skz0qJgTPODO788qVEnlOTjJ11jA111W73Nn7ILRlJRgzXpxVCA1fLhY1i8NvRcNqzm0C0zgjFbC
dWqqP0nvML9d8x+uk2uSDSQs5KOe+DFMsoil0jB5h+t26eOtmdr7CO3Ane0Z4RnEgJpCaPlZ5Uh6
/clZDgyFKYBARM/ooMHeL3H5ojWluGVoUX60ejc82nayV7LcMHAOFU05vsjpSz6Xq4H916nKK/bE
JBt9MA6fida+2Ue+52hrq9VxoICruoCR1bKqY0GfIq50AvIRom2UXa7Q9V4hjN/0cXJwtLvRrO4W
RjmaEQb7GpePiwVc71cjsphSNw+RE277ujq1jrlLCpTyzWci1Pcaw7mX4U0rj5dwBNok66BQ25g2
FvOnoR8+DX2m/AYjYqAmube7p3CkPkHPkDPzzmrwpbashV10u9iHRKbXuSuCBdk5QnqWzPAgEHNn
duh7YX6axXhfDOXBsr6F9uyQCxRBX3SbS9+y0TBV4WFYAZWjsR59dOFXQ+xsWuvrJEf0o3xnPq4V
DoKL3L4Vn0DQDyliRllmeyMXtNW9b2AORtAdUOQiTBoZ7Nlyefgaz16peryrGkEOPc53zdr1HXHE
yziAXk3ItZuVUb/F8myW9alcUA6gsh4Rj+q6Rx/Mmzm4azbMQEvus7Haac31rKCavfh1SMO1bb/V
U/XStl/KZvAjtugsQpyBWMubb5Km3LnGEBSu3ODRCaKw7a91T6h77DsvkSy0q7nmzsk+OwONjnfm
MlVdEPFomV3o3VDGVl8iqw4JrlBctIKJArEP3PKBlCa+NZeoevUoKQF0xOWloVhFTB7v5WjfS6M3
8UibKF3p2p4BFCu/t7xLkILEDOnkevRUqKwM8tmC+cPoWfsmCl84RtEX9y7m1I3hMLu1axbNAvmc
5oazcKZXAc20K4GrQRTrIbqKB5WcMP2cRdM6t80yyLvOLOrNt2X//2+Sf0JRGYTUoMGx/nCXfPjI
X8votXz9bmP81yd/JayMny2wistewPG+bWX/3Bkle6YAXCGDQoeuuux/v+6Mhsem6UjPE7aABdIv
sXi/ElaG+JlVHFUqm6lrsa47/5OtkSOy9H+3EAth0Yi5kmXYJQDD+35rSDLS06wUFLLVuzvHSJNd
0TFoo+J92HhaMX6wXmDcZnfdoYHEtTnl7Ya1wto5S2EhGU7xZgyOraeAY6O4bdlZgDvCct81iC6p
hadrGUbOleXiCEMvV4H9huK9YbjGBhNfKjmk6t7aJNRbQm5sQ8camTifHWHET50q26u6aqpm1Ztd
go27192jnBZ3n4wjUNwUCS/fAYxe1gCCgnp8tfQW5fglxA29nksXIfk4fHbMgoW6UubiczkScKJZ
2jscZsmmJm02C4rGbvYM9Usfy4IMlgCXIDHHeKU8+gTb1cqg9KLiTMlgV0SJGKpcxZonAC1c5lqR
uyAey0Yfnj3dpY0C7ur2mITDB5DVKfdNHYjWT2onvp6zZmRV0CYHgDC2knOX58MTe1mSrXGx6cdJ
RwCFq/DamI1hl6DZ/VIx/fhFs9B1+VjfWogF7O0rmD/MLbkhnoBerFNnWdpDjLD4s1bR56Hnk3gx
62G8HYAx140VRXTAORc8QjrFiedgQRnn3selLyq32VXIwE86A6Njn9tcvjk9kryWRhu3eKKbnKTr
SdxqMSNY9dQ4m4UXlkEm53nFEGooRZd4TlZSB2uE41aggkazt/Epr4Z2PFSy1ddmbyKgi8b4rkdZ
w+CHaDBY0ZbyBCabhkHSL+MrEpj0MM5yvOKB6tPQd/A8bB1UkesolxK/uLdC11TRA2OR8pbG2VG/
JE+qrbrVQnrt0dCq/E7TJMu3O9WglW60rYpqDrRutM6xh6E3R4+6gzvRqRyqcG8y7HWDkFB/qZdl
OcR2FN5UaMCv6OSrTVON8q3LymmjY5jdZ5UZ7xg9+1DXY4A1gKGQaR/fZNmEndVr1KOyqnAT9a79
mhj9fCQaC8e+1VQbx8l9SzbtJ11Xz+CddNwYI1DbDk+tN1CTlH1XAgZ6ANTFNO5wCd8o0wj6WBwc
tYku3nvGm7Nlk/7k173qd6LslAp0WB/pK6I5HngP5FWLYe3Oy4RDKD293SGHy/zcSt19IK6gylYV
5hcXVoWUHp/ZK0UEp5zP92at1ztM1OJa5/K1/oTL0We+d7IvPEtp0KuO/cTAL/taFK61M5o6l4RB
VCEerzH5qg8UsM1Y0CzOU9i+IeyPLi8lHnhZohdMO3w1NHVYNn2ek5nsiyS+taFOVpKQADTiixvd
qAnn6GruouRuct1ZBeMcF2uCT4dnlaTqOklsYF1QqWtEkNgfR2tYOFJer6gXjTvPrOXOXYgq9+n6
hwd4AfMRGeq4c9hQ3yAQioe5M6sGTCS133i+k6+Q1RaeXWGghSxnM341wtzOiZFwIQVJ4ZPn1K6R
eOvAVwSeFVa9yS6sNlAe6Hchwnir+qw8x1lqPQyFGR3CyxS3rGitU6PVJidZlM5NnPQGhaNTG2tU
s5G97fU+OgPSGrdDEznbdEy6Uxcr0pB4hLmrITB6W7XdKc9aax0aS71zLZAF0gvca+YkkhqRI10u
fKSX+tEJlQHFNML3GkN6MtwsQ2UkBIP8Gs0wHjThjKReO7lGdWXIayDB4hY3jn5nmxNDspThWPFB
LaN8jPJCt4IexcqXcamWQC90iGFdYTptyKZxeveQ1rPgnb+EHvjeNDTri+dgiyyobtdZ4sZoNPN4
N3rltZ42nYZhUeCGtyawO68zdpNrFLdO2jHnnRd3jTUl2Tb8H6ropbxvBwTwXZu0ZBB45yFNoqts
Ktwv2N8TcizCbGOY1XKocSkcAQnMHRJV/S1b6uxqGMTEPC7cIHEh5BE7P/fQjFBJkAGzwi/aB6xF
5bGcZ+T1lejHNSqMN6PNq3UOC7uzSKD4RLmOMq7/lJJTt+XVj/dG5qxJPmO4Dz3Iu10lHym66bWD
PiDAcpEEQwU0nVv1IdHseit6Ye9LI4Fys+VKMHTq1tBKuZuXqNxHWnjQo0Y4PhFl+rrLtfkzem0U
BCEt2a0ZIgZcRZGm1g3l8FLmD0shp00hEEKTaP051+ECctUZK/Tvb6mGVf1g2ia2ZOX12WqMgMJ8
/WJy70J7uDMGO72acPLT4KnuGkvAUbripZ/UDuWp8sH/0TlMbR8QXWdcu5WJivtiDKpiV198p/GQ
S4zeJS1S9umRwbsuhBM2VCpjEebbJNb51x51wLa20kOThX0aoOio59US0+avDJcxUj7jMNVuaPLX
Ys6Lg5M7/bOVq9YjwmpOrtKZyI0yNmo9KC2tvqsR3m6XmiwRv2EGO6aPqT8WcZQVG7Mg6gqHgMUY
Q836KLpoSNZs8SJb26qLKWa0KA/U2CeYSFXLPsDEOYxXM+EVLQMjUudLiabzfIHxz0kWIwvA70ZM
30UX4/UEz1nmVVW5Z34tEgwiMacPdIpENIQeDmUIinF6CsP4nXGN4/MiHJzJiBhIwttkbf2/2Duz
3ciVq0s/EQvBMcjbZM6DlJqluiEkVRXnKTjz6fuj/vLpc063Dfum0ReGYcBAWaVKKZMRe6+1vpW8
80Cs74mIxauytXPM0CNQucJEMBRJaNwlfTy/aWEtNqHMxmNiKo/YaDbXSAwtWiM72Yt0U/ujMVJm
Fr7xQqcaN9iYHLZsmtwqs1JPpUT3CR0ybI1k9EIZulZJED6ndl7tAEnavzBMZa9Db1WgMRYAj5sV
ebzP2lDtyQwR5u8rVbm8+B5dw7KKK2fAsIOl0N+4tjsf8W5Yz/Es0+MIquBYG264xv8qDlVutxxI
kowDQw61TUbsHiJMGsgj7fzJZlvs4TeAk7HnYNsQIg7XBKl2aWQTWEjJ2xJLQoVnHhxqvzLV2mjs
tRQDq9exwATjInN1g/ppWgP3uZK3Yjo6G0M45YoH8TpvB2LxDiqaMd1pZm1CvBisQ1oBfIrzoHyn
LQ7dF4KCbze0qGzcQmyrNi45YYx2lSjXvXPQus5hUA8o8ATeigEebwzVYFtlRbXuA+XbsWnchH13
Mozpl643LM+ZP8WIw8mxf3RZs7FmG8HE4Kp146WltS1CDFQtJt6dNpekqgZOFU/p/SOwgPZpYsnN
9h+L/qCPN1h61QohtVmLyEnWQQ/djLnR3KSB5qwm0DRbusrHyDfN8Y0v6s8x7J0PhadiEyQi2VpR
WJwFlv0Xft4uOTGnK1JyC0RvqigFwIbLdA+sMjqCBJJ3Vc9ZHnSVOBGnTG8NW2Y3E8LwHWs995yL
Ij33kZaixlSpfeUT6o0Mn5E6M4fkd0Vo2D9ngp6+1QbFrTka+o3dGc6xU5n904sC7+J0Hp6TIYJy
pur6ZAuHNHSCk/tN0/P2wmMzO9TI42twAp9h13t7WSCdhthSbgjqu2+sq1tcGkUB5o2DnnuRmVSX
aqoXgBMa6KHMw6aherWaeHrAgwrnsSDuUJLUVtI5aLac7oMEvsk6VUTvYxms4YmxBhnT6XlAGb8d
8+i1dGRwFUGVvuF8q/emrOL1lJrsWLiDT2FSb2Xs6JtcEdKcIr28UajV2aoKQlYipo4Iw8O5AyeH
vSO1X2gJL/kxu1QddjzwuD+WrxGaCLJqlh51YB0rpnTrjMpOzIZ4PFaoBh/oXQj00c87Bxp/NY+f
wYQQ7sSce4Fr8J2nBgFVco5jHgxPpayfHNiRL64WcMvMHbHuuBCBfCBxn+6wGFUHPc/ex77sr5yo
qD2Ar4io2h1GJ1B+QhCNYsxqV241fMbx0D2mhFuOiRrAmSR9f2BNqx/l2GUbo0kFMi5k4AFejYfu
uqrqLDnI7Ae8Nu9H6IIZS4h8uFxhxUog13xOWjSdMkL+DepKRtp0KAlQ58SG3ZKpr0CQ3xDytm5J
aUy7OUrVdeiKxSdYVh+CN8wN2mF/SAwC0/EiQTH6cJ2oPY2M1tReIJlE/hjG00MQxA33hSR7T3Vv
5qVU2SYv5uiTYQyFHLr2Ogk0C+ZbS0Rem4f7tJ8RG+rC1N8KWYIEkV63rWNR7e1x8lDDvAwQ1Dzm
DD2tq1+VS5o76Jt146Zl7veeh50IYOWSO8YMxiTXx4tsn/q29NLXqRgH3lmDsyu1Asdw0F1MDQJm
zZFS2gY0LkKxfexi6+JH3XrnEYOBT3UrWjqGFy+m2ZKEzDF1lGCVl/+sh3EPfuHR7aA9wJiJycyZ
aKBZMe0bV4bbyVL1oTfL9pDyKt9qUfbvc6+rjScD51mzDe+M8SD41LgzQXah8cHvle3t+PVYGy/v
5YXemerstFb+Bqy9425k2wdYFfWuMzWgVt40atjfjVjsvdmGdlro2niuqRggSxvn3s4wI3sVDSUl
gdOIChoQ+PkUmE+tVUDiewUBSX5nw+rIlSZcspxckTaVN3k37TBnrzVW+N20oH/w847vDvhBzo60
0K8ZBgqeZcV8F5JKP6b2PN5pTQPWxx5gQniwPDdBKufDzKbi3ss99U6nV7wj2V69ghZA4Jwb87Dk
wjZOOqiL2xqiW9Vt5Wy6Vhdr0EblXWu3jsaNpSfMPIf9o1Y4Ax5wyjcukDSdzYCfE0IcwcS3rDHr
nWyMXzH+tqMVRXjhJqL4VzfUBUqlGT/z4Gh9RRgqWmMO6S6jnI2jCgwDcueUv3Z2ys11lhndD50D
TycrbwLV2zcZoj/GMlyk6zIiF40lz2iuqWyrWy7XxKDpm57wwRg8amoO0Xs8R4oYT2Rnh8rJ3V2K
s+QhqbjDYvXHIZkbLF89ppgz4AcoFlnRPDlCo9nYlNKfmjR8thIXCVkFpks7ap8chsLBONQM8zHn
enas63l47Wezf/S4hd5BdOI0mRPzGVRDfPR6HeiU7DiLgmG+sTF/4sWsRHiGqqhfigbUWIRffmUn
mX0QVT9Ctqhno/RLTKXvvQWWb+WlpnjPHcpsWB4QacORK9m1JF7D4qG1KHMiltidSMTqG7N0mXbr
QJu3k0yrC+d49RaNQfXck7Ck9cliMHBxO0yuUd5S0+A+OTKVR1exaNa73l4PmpHf0NHCFStpGyBR
Mon7V122ztoWSXQbWCMgo0afAZgMqfM26wFkqkaIVVu52QnvH7fOOJHlSuuIhEiYDVeSPyG/Wve9
GtiARIlGA/MYb8XEDM7r0H2jdla9AR8qcHm6poOWNn6x7B70fPGxth7RNVjLT2Ym6mOZ0q68YQ/u
fGgW88UIQiNceymuhJXU6hyogl6x3Y7xVvOqud5qzvgQB0l2iS2bf6xBAbE9Wubv3ur/Z/vf5Rv9
kVj4/yN9wGqXjasliLX8cwEUjf69beMG8TP623b3H1/8e7trfbMWldJmF0ukGPbAP3RPV3wzbPa0
jlxWlst694/trmF904VB1ABBEtags4iI/9juym8shJFEHUvnSyU67X8QR4Db9/ftrsuC2SD1wJIZ
LtzfZTYRJH3Kf8ethFZgbEe9Uf7QJLwxJw/PzsqsQHhuVKrDv+7DYEpWUpLjWfORGLVVy/HAessx
ztyN01XZlXR5dDDJzraU2UMaD9ojZonoEEILuzp5EZ1UjgUEGInMd9T6ehtpVgyWRRP96E0X8pY3
ZW60Zu8Z7YPRyZ6ZhbPcD6h6OIV6AY49YnPo60Mw3TnYEOlUmR9wIEz+rO1BoxBMN8izbjrqSk6Q
FQsfXJkwtlOJqcMPxrBtfZlN2rCDul3fxOUEqQoLqHgI7Dh7NSkPfCiNslg7wkg+ancKL1NW55yQ
GEw/wtKzv0MulrC9OvU+GCyUPT092IlBlArOEhyERE9xxmZBQeiwQaGc02RTaPx0CmPE9kK5h06b
mB+bytjquI59q4uxgJSO/uFCUcLOXnYBUSE3xrvGbPkxQLoZWV5n3KpKLXxiJwWnNJEeUVp4xYa+
xq5VrNluDBvPxFEuzJhAMGPkMeEX4HeMHX7rJP1pLNXzFBfEoCWP6nQ9N7D+M/bzJTcblleRNae4
bRDLL50zJO9xYeU/ubwKb6cIi5N7LvqGNmz6l8+zR+QcIRsVKs+p0PG9vg1HEAFhi/cbsyYuoiG8
tO7gHUev4JHcBA142i7jOuiMMZOuKcHZwR+PXvMst0KcayxNYZ+xCJqw/HBDHyBCAkCuWRTbqghX
ZaC8E4wgLgUZEd0f4AzAZpqwSfZdrHk72VG8DtHImbgwo0aw9GKdscl4W+OmNY0rxlbrHDhd8xgV
UfkesqpOiBsXtXdqQ96KPszJ6rPO7emt8aJSX9skuYFyJ6r6rrN4xYejw3be0f6iHnRpelfL0qE4
z9XgnZO0bK55VNc1VBpoi8CCXXXnkn99biwtV6sAc9RPiNu2vcbQh80bs9OHUzt4gEei+ivMtcMj
vfdmDt2SvTRNCEk07ZHhIw3falScWk58ICjwHrWWgzOMhuHZc4bq3m7L+WDqxfK5Tes9DDAs91bF
+nolqE5c16FNvX2Al/gj5MO1fGmQUaigsqzei7hJ1MbqCav2duxcM/Zw6L9WNmIjqifx6vCWmwAQ
4PD1AmokV25X8q82J0L78NZEiLcYbBBMDzfcz5B+V/DhQHgb89sQjht6Z3wzH8zPsvdQ0UWaqA9b
jgtrSrfGtxEg87ruIqRY+MyP49BV58g1g31qW8axyDOSCHbY8seQTTb1NDYvMwH+aB02rbUxXNSS
ZGzLoxQzxHwTUpcPV6bYYtByWFC7wX6aIgaNad6UUCBIBYzGCtavQoRXxeLSD54h+eWcvyZkDtxT
jq/pXWOsJoCJZCHCvF5Hc4En3Zpjofv5MGItM4LUyrEG1Kz54J8+kdWITiLV03BTtyZxAI7qAf4H
bpBtbZiqg4Bfd2+5mTDVh1qr6as0Bp0NC9UG8DvF+bQFgkpMK58r8lRa1RIYJAy66pgAb2rw1Fya
C7oM2rxpXhshUUPy4kcKxbpbF4rndJ+BzUC8iIC0dtzxISrUT6I1kgvgCUQjLxr7FysI1dkMouhN
72WSAfrAcYfqYmPxHAOXgRO4C16HepafAF3JyeTtp6hjNC+36MsjR4md+mGS1T8sDewU9rKunpfL
y3CBDAKD2rPDyV43OnO2j12aCcWCsOKyBa8diZ86i9gNJqFuos94zU/w7ejrwyhX5czCKbT6fK9y
VR8DJy5uc35SYhVX9hxTLEoV5s5ozCbag9Mytrj0WrEnFOA1fhKaC0sD6jFSX2fiPwCqbjGhMTr+
GofJPQqch2uduDvbo3nk4eRlBThxPm7NHMcggoe6JnDXQBuoPPY/baWMZxpMsN85dWqcRVQaT57q
61dZJu7RTTIs89AZWMa48Fhuq9Ytbh0oNk81V1F+3InD20c2PULaVOlpznTdX8jZOLNvjVb47Omw
LdZjKfVfoha6e+JfSOLG6e2MJYs7uW8tyTfEQACVFz63dr4PLIN7qxps55Fnkzr3uQdtLyiNLWYa
6hIDA3/KqKl5BmgcM2NShqFvtbqMz0B+5MuULOCnckSpTDzhZwbUB0bW+GqQ1CNLoevXhCeSr9Mv
8tyFAqwKus5anwix4Bt7bKveuqYUGq87lIx9befikeFS+2kk5YgSBFyPFX7J8E/UT/Oj2AoecxHK
qyzjxxK/9TUoJ8ypE1WxgEOS9KolyFewecoOGYdY2Irzbo42sSgKFvz82CLg08niNspcdhbM8mb1
HrtFsCXHHy75cdLvxJiHPdZBeWhDrg59NsyfGeDFtQaBSfnQw6JbCmWaM2wMuakGJ/4et+qNlDjR
p84bdwGlhxSp5PF70AFsL90hvXflUOy02p73dh8V6MADzkYsbEtHAJM7Fkiz8I2mMdRF2giwWdQz
rLm6MWJOwWadAZAV1iELiQf4DaPHAYNQ+8j8xDpIUxGeIUGBGx5QPnNhQi6whMosGsvc4ZtGhGBh
/WhztNxZWmaGcGBopVgtSCLCU0PzTuPbcHFp3CLa0DTRoS+D6CYUvfEgrK666p2X9NiBbHkWYe88
mHY01YsjWN8NjUmIwR3dm2mGM3Uq8MaQnCHVdXESmb1Xkxe8dVOa3oNr9X4h4sHG4z2ABxpxwTY3
INrZwuiT0irfDrsio1rAwmhvm/yKVyTBAxw/bWytWqucCKLa3qpKp+qaVgUuHquRbAXMRjffnZ5L
87pNwujZsZpIbWF5ltrNaKvoZIXJvMboHQQ7M5JAyGmmnIYDqMKm3LdT4rz0Gp9IJvr+XoZ1jQqT
67cD6P/ab+2GZSZkS7F3ChkiDmftWzil5Z2aYC7izQLn3CFmnmCc8lmdwzw5y8mczsqpITNrptbd
cYEdKBjw+ug1ggEfgr/sl3hPGpmPIhnrF9NIqqvXJCCBHDXfuLCJ+xXHljWu7VrxG1UqnuFT5/JH
aQE4Q9A3phutD4qjVxVip2Z0MV8NrbbB0up8zrOLYuMqa3pvQT9PmN0LbWNNVf8B5TaBcWM20LzS
yNsnCOF3fdpC1/56lbUlwTxhN3vzevlo4mlcwXKxX/hwmhYbmaK6uvChacnIn7DT3mdRThAjC5uz
RxqKz2yAyyi1ehIWOWRTX5uqFlwMm2uyZY73UumKEySAwcIO0jLYokismc8JjJ6zp5flvVeWzn2f
O4zgjpWdSUhmrxpODrhRRA0/02mOduRpbAV3XELjc50eXljWjt9dVoTTsRzNftqnnt6nx4hSEexQ
YTjtWyyLn0EWql1QCMRx2GFcLsNKVqzqlevdFHU473VOrp+a3jg/wzBQdKMm6Zysulm4au1QxEQp
VG/Gxs4ovfip96AmYQBIXmeWf/fCywNz20+lx9kW9c966kX3dGJlhKu7+TrHZvvT/Dp8FUDwFT94
dnUojPdTNDUfrLaaCxzD6lEN/Umvw5D9Td477wBJ6nEzWG5kbgScSM838IiT/wN27Ka46MQQhkCK
QTHye84goK3IPaXpvuuS+TD2C+mwoXUL30xn2K+UqtTjiqgfvGURI4/XOAQ+La1u90Op4kvZqfJu
0VZfFGTMH01te3v4Wfpzr4tpBos2hgcMBNCkdTI3MUURFPdqnjVrh7Soxd6Q2EtTZYIosqeo/U5f
pQW6XrXdmRoC9KLUcVtEFkpKzowErOXUAHV6FHVKX0zibXQ74h469T2vqaPCaW1WOYJVEtiz7pMj
5ldHkPaY5wmOuB4DDLSSQC+vTabNe6AJy+3G7JKdDYZ679oFNpAB7Nh9yDtzP4B1+HDLOf++TNk4
zTszz9adZWoPolPdNScY+ZKO9QQezwTgVHPg+7YZzH6l405Mx15wxQCpfGrYcp9LL4RXH2NUCfwy
A4ebl5kCf97G4a1R5ryENK2ktcSdk7vOy3+pFsINH5d8N6gsuWq0vLDjo2HGV7Ntn8KI4N2KuVI8
Jnbg3Y9GMm8sqkUtnHydk56SGrj/qgTtfGwIQxhrZ7YsKmUaB/5oi6DZ20WsMZpGyXIoxzmu/7bh
V8M1XuTedOrtQR1bTqT3OMVB7xdE7UjGYtIkx6PLzFpHODH6FUi4cTsT6oEkBua7X6lEknoTSNMU
hkSnxjAT8ilgPOmsgyYzjiyyuUbm1UZ2kXL9zEnjA2mV5ucYpuUlVClPEo0g1l2tS/GU28tMAe87
WxPuncC9ubq6tTrdPOdOG+wNgeTYp7KB2DmhkIeU2T4DYTMI4iYO5Ly6D763yo3xujpzdiFOXBsH
cFhz+CK7seUCKIdmWv3Xp/jvoDRYLPEOsP6lTdGPMPLH/8cm64+v/G3gd77hM2Q5jOnQFZazNIv/
NvA73yQAF0GMEt8hLv4/9lim+MbGiTUWxn6TxuSFxfF7j8UfOVgK2WPRgK47Qv+PXIr64k//s0kR
7CbLK4Yh/hXCYqHFn/8JY9VFDjNLnhDIHVT9lNelfK2lHl5IIxLHSjw1vjFFfARkz3661EN+HzrK
45wecvfGaoZyI/tSbaStea9osSX1QlWIJSHOfthZ2L38983477wZoZR4//KdePsjbqK/uGV/f8nv
Xar8RlCBX6/rCLJ1f0a76GxZ+Y+tC0yqvDsxqf4jQ2J8s+Vf9qx/vAd1+Y27OG8+QgMedhkAV//J
LtX5v+xSXWzBDkRy0xKO/je0S9wj51llO2MPKGvNL3M7K7CqauISSQUHSDbgS4j8Iq8Rw94YZGPP
HGvZNsjGmka2RIewIOBGcFOh5SOoyPUaRku5pBsMUu2MwlaXkZITufJKzB7sMl2dg4CDAQ5R/ToD
b8MFW2YHiJnYD1mz7DugeJt+CcfVdVjcxqRzWhqz2t5b26bVKfqODE67EuPBwMZHqeJguJl1isc4
8FZdRWdtgN53GcDM15wi4IlWyP7aT0zzinDpoHsfscexIQQJQLLX8RHkp6CIIZ3LM8Ee56UB98AO
SERL61pFeRNKvUI5NUxaIVn9JM9Utb0Ns4gvsYofQUnOjBR5z1bVUe9LHcPJMgAO4o9wHjg2s4uI
E2OHWanZENvlGMd2f+hBM66sXhxaTWXbsCzmjcePbkOKLPK1mno4UUTDvSoMooSee3EB1J0MGJeU
FqQ/jLAisuCU8X3g2gmmLARjW/bT95HF7DmySVEsXIuC9nQazmDT8Lw7pmWMPawR5gxGiw3QuCoz
2z1p2BIrXP0a92m6eSC3V+NAEJdIi/sE6EVcKUZAl2RZ4x1coALN4vmpb1NzMfPDEmjeS0lj+2Ho
0bi4A+MNFNTa3gI0LfVVThMEXVEc6xWQWh2sGXNVZK00iXeEOqHQuzZ9uChLLUrCtgAIc8S4hduq
yliXi8CtoX53eRxvGbjMNZJWcgPv1LiJey35rvWdsQ0aBt8i0TBElVmf3cM7dp+g+sA4b93xnDaU
frVcOvhVej2HtcWSvUUcU/2Dy+KADRa+mJfOHpxnorFqwGil9DuPgj3WI6x31tBIy32Hv2Sfe9aA
f7Prp5dWGOFHDcLxruHGuUEgB8lBeHkKzwMvqd92mV5u7ClTgV8gfd1HsnOR/lNGvDRcvG9UA/pB
2pf7upLlhQLIluavB0PFnW/T/iO16Lkcato706m/oUGiPuiNTN7AWHRXu1QYwK2I5a0qbltMbtxI
9XXajfNdyvx7SWqNHxlFoz6ks/pCCNvMd5ltU9PXTWPExVDFpJ6Zb2EUEItmqcbeeMZeNtprSxPD
Txysby2MlHNSm8VlqL3xEFag5mlMkWTvm9xCkx/LYzE3cGhc2uduE1rbkNYZGE9suFWAaUInraxE
LO+KOGsYVggc+2OU4ej12CmPBn69ta4qkNbSLZ2TXZFWPlDdC9GWUcmJNwKlZfpu4aQ0Hxq3xm1D
Fu1HthgXwqUAyqnAvVAUTgVW3cX6i8btdjxEibTpxg57F3K8aaXi0wT64p2LElbn2p7MmF/FwlMa
OunmOBz5633s19MTDkEW6V2bv7AZgRewDEY7ePFp4tMU0yVbPK8U8PGIFilncJe9sIzDZOYpzfZ5
2D93tTecdbNtbrRBFE+ZsokThwYyLn61UfyQMoGCMgYUXBjQqvAoBdu+XcaMAgfgbamP0wcbDv0N
TmfmS9Xa+5FPEU/YKty6SVs9DjEEXT8TmLVQRGBe/Qj7tiRH5QQ/gUwxlspu/qEGOgwKQ/AX65R7
hpvMnK1xN4am3TyCSLbozJWNG/ptVLrj/YSLqWeub8DZyJr/6yFMKLdpCxUMmzgBy7UPjDENKMka
cm7CuayMQ96ZXb6xDdw3K1bJ82PSMWyvzGghhFsWycR141rK2VFoG/Y+pZ3pZbRLjeMlxK6vR1hZ
506Hl1oF5W7yFmcubQ9Lbvs2a/LsrLDz+po1jiML6pC0AwcP3I+mOnZOAhIV29KwmxgLLhSkDE92
XIfnlnTg0nVtVN87xcvxFdn8DC/agoCWXW2ecGK485YmH9rV8qySyT4NsSv45LenT2HVCbaWdPI+
gCfQpFohTBWrSkb4MydKTrydI2fT2ACfnybfim1GI4Bl2X0DFc3YAESX0SnAehyvHTbMHidYWcS3
shTqNFB0UR6SubKAYhvWcIGlSy+O7fApaLT8VE5ZvB8Cz/VWWjLi+y15TIohau8xMrXbJlPivW7n
e6uXrrmilbV7EGMKiBkxQhNsppQkK1b0zFnGnDrvKpxERjvV6LxAjeo836JkKtyn7dxHm652ZtgE
EVZNntkJmNlpmH6GKDBPtt4OD60X0jFQ9lP74JjCO2F9Y8bWDOteb2rrRWu8/MQD2zo2NpYMO8HE
OgzTZfYya/Q7hySea6dobxgvWz6wK5D+DHIZXV4cOBYTNM4Wx76JIwD6aG10zq3qOlfTtlGDVuys
zDJ/cXEiRVZpbj7dmWA+nmxaBpe/neBMit8/3NFIZT4lY8LzTgqnxfJReq3aqLxubzWiiUBQeoON
UObhVCgSYOEpngxzb2t6D5SKmodxTdUIa/Q8VylKQAo0C9ZUkuS3zdhH7cbtm+wNj6G4VQnYCGqb
sKr5iIwFdwgP6C621O4NVD7NTwYolBJwiumHod08NLOlvaO224aPcU3Gmy4MedAIlliYrI2FvUp+
/pZXjYAQaQIATCWGEZ5N1/xskA3NdR4OoYuHjmFnX07tV7WzSaGPC7ei8SMR8cB2Zl1DU2hzjLaj
qLCBF62zZBL06gfTEAoI9Z7lsYlqVENrqD9dIbJ9tYgmHV2WVNl+aSlUc6GrcDLNOANpjkeXFeGb
vUgweEv6Fy3O2KrR/pFcer18coca1SbD/KdvEP/tU77IOsmXwhOh9QgLvAoLUfU6L0KQ+tKE+g55
aEwrlKJI4AUJAPvzTFmUpMxhRt8WaVdfky+tSQsW3Sn70qCSGjkq7jBCrkKS0fo2BFHzOkU52lUK
VSTcaK4Vngg3hU/d6EQ/oUKafKSxkpcbtH7WOqCYeeuNi0A2f2llrP/RzerGcnzyz463DhZhrads
8rlfxLZ6kd2Uw0oBu2BFgy2iHCbxHRfSfcqSomFfkRRbaxHxMJaj56WLtGcuIh8BCWsjvpS/OE+b
lyGmmxeC9uhz7vM8YVdCtnYRDtsQ61rZh8Mj5dgDzduEcc1FavRqJ8v8Ron6I1Q5WuQcReYnap4/
BD2msXJ+i1Au+zgg1OWIEFqpQf7IpaQTqtIid1IGgfIZfKmgaRzNO7RFg3hvq8Sr/qWY0suOejqP
pn01F0l1/lJXzS+lNWwrVNfB62gu7Lwi/ai+dNl5kWgHeskoIfhSbp3Sq/aK48JvOQMOY5xV92wu
h+dgkX3tLwW4QQvuFlG4/9KH6y+tWGu+dOMvDblY5GQXS6Ci9GaRaxe5WS7CsxGnlr3O+1T7qb6U
aRexfqEsqjueQAJGmjArVLRF0BaLtG0JPdQW/pd3TRfpm3keFTxw0gy4+VTQuvmlkzdVUuhrLmjT
m7sI6d3/aOpf+jofPC6G8SK7e4sATwDFPLPAM675Is/TaYFSb36p9uYi4FN0hZbfL7K+tQj8vHvQ
+vNF9rfaCVJaOcfeiQwbySRRSown+FTxC0DbwTuQNORJjMVQkH15C7RGhq/GYjiYeKtQD/LlQ2hL
CsB8rmz6u0fj5lFfLAuDwTIQt9hyBfvyNIAJw9+QCTMwUZenBl0RA8QUsPFf1V++iPnLIxEtdgke
Esl7Qpz3krkiMdfTYqzgZ4bHAjjZ6PetHqXr8cuFgS5OnxPGDD6slo/hVvP7ytSP+mLgcBcrR4Rv
b8NTlSzhl9Mj/nJ96F8OkBBk2BOhOmwhHu7glVrMImNnJ2dV2R7twl9ukr5R+oe5WExGQStnjH17
W03MjWAeq02JJ0UFGNRxXSe4RyKahJK5uJbSSQwfVBZ9gw3cjRWVYYdBYQ6Cll+/e5lArHWBORKN
mD8AheCQqb7MMl6RfFSLgWZGW3jocj19NfA9PMRDyPwHfLGmN7kKhp2hF/hBHGm0qc8HC49OK+zC
bxfjjsHHYoNdln0zBvUBUL1fFA80hy+yKK/7zmMj5ZdWZfbrTnryBKYMlxDrw+y5WaxD48zlYq2c
DEeRWsxFzmIzcsvAhVOJ9aigfwZK6GJICluvuzqLSSlb7Eqe3YNNWSxMIb4SkluLsamnv2TVDhy4
0zz1j8agHR1+oYSpsjeZ8LQdPSt8wB7x9CdT2W987J9xsX9FKYNl8KAyeDjA2Gt50lnWGn9ea7km
P1izokkLPnZyVw1ze0N1hU7cR5fHeIYyoxdjtP7X3/TvuzQHAoZJ7N9lOScNfck4//mbGrFezoFM
xx3Mn+zMLaO9hnRR4QuCdlXNqtsykjkE2If657/+zn/ncCzfmbWJLky5rBmtv7ExKtseYPIBo6xx
j3PVkVYPao4aDQVaDT2bMOmP/67i/p1VHIHuxVT4zw2Op3dVAHZO/7KN+/1VvxfC7jfbxmsneI8C
6vjitvxeCFvfhGfZwjZ1gfGRkoM/tnG6+40lHe9mXJL64l783xthXWdRZ+hsl8E28z9gkPwH27jl
k/HnhbCD4VIatsMVg7+JHfNf38QO9+dKthTQ2I29h013S5PfL90tmAsBcAXtXV+mv2qrVf8jNGBT
/SeAZ8kr+Ot3dpaloq27wmEMNf6+BQwj21yEjW7jBJ76GVhSQM+wSEgPdq+HB0PM3JhiPvsmT2jU
x7GpxuyQ9dF8Q56h+sUSlRkU0MPI+Jq67mvpTuUpIbtXouLiWSf1Z3sJ0aHJvRJpHRnZRI8Lzg4M
P1IgWWenl0ctbIHI0+A8MwRjYMmmUABKUbck2AijmeYnF9ECE4e7Tei581sNrUjWBTyaHH0nFBtH
M8SpjbBcWKNK7s1Rh5AyQjK/oSwRF36opzeS7YQkapwMN9Q0PrIm4vsFOLR2IyU9d5NdbtIqOSdm
0lyW3d9q9GZ9xocppnEVpzFfPEwx4fqy7tknaNZTK1lW+U2nh7ccdtySUaNJeE5YS5yY+1Fl4JYw
KJhdgX8On2MWkPeO3RN4mqOK+vBypw9Gd0fhqEXmvI1eQWBhnUi55yzkTfr8zF5zbwetaX8Fo0GC
qSjBtONnar0fbTUwbk7Ulq9CxcxG0h6eZQifwVkHOMbuG3pM0TGtaUF0GGECJS8lDwegISLzKIbT
YGt06lA/6JtkaW/GOLduqUmLo42RTva11lKJet6Ic9yMHenZEZso00hHU9VCyZxrSWoOqwN2iSoo
dqXVjec+cdstOw38Dyrxtknczqdi7KununAldXtVowH9Nf8Xe2e23DiSZulXmRdAGeDYHLckwU2U
RK2hiBuYFFJg3xyAY3n6/qDOGcuq6emevp6pu7TKSIVIwP1fzvmOW7+iyWWu2hsS0Fo+YokfpA7q
K9NAegGS10sKn3nomTBXbbl1uiboNwwZHRiZZtog7TCXV6BqjHlxa69SWQHnHo9XIed7/j20EGKs
rC/X8F2ciQChQ83465p4I+FJJuWCux2UR5wwLEDgzNpBGFXVmT7E2qyR+ZoCZUvi09/VDFxfWRb7
lP/Z7EVoniq8Z1MvJWbSjpEEJd18iqDjIiYkVfh2GFhKtxVCKGYP5lts1slX1PvNbz6Z9LHDeXHv
5y4SlHaG6hOmzpC8MQpb58NDGhNtVyGDYBGFDlkM/JRFJNbRjggEoiT0nV8js+6zt2TetMUQS4+b
6iyh7rItxKTpJPZZt9rf68V+rPBNt7vREv2yy+A/Uu3DYkM26tNvZ0DaHnRkBb86CT1PoVeSrIJV
zcQQTdBOBrH3ShU4b/xhsKZwoNhj/dx3L/h5qG9Epbz3NsUVx4DEyHfU65679YpMmdvWaq0vo0ut
J8Qh5asGiIAK2vbfiJQTepOAJ6dKH23zOWYjTyAeWgriAlH4PdVe64Qdu2h62DZGiRKRvI04jmmT
vU8TydDSU4WBXXjyBepQ5u5hYgoIAAmIJXLZF2uje2keyRjS+gAHUT0ieECSQApucbOANrBYI0Sc
Ijkl+bihJTPu52ZGxWDl2Huy2aCONJmKrJFpfv3bNAkj2wFFKY9Lu0YwWUbmE5JNO3MaGItrXFEl
Gt4mkyzcyyK5sgtxicykYMq3lEDjQ1qjQOErdTd145FoAQYCSrUDIjse7GTnNM4YwhYrHzBfZ1hB
Os+DRTm1b6iMqfEnjiEcfo73i8N8TVRHnJRsOt+q3K0jSyPY4krNcPdODXtpBiYT4zIMuHRlE39T
BJrfEHQ6D5kFxNbDh8V/ERHOuMuNRd+NNAOvhanYErC2QDoS6UA0R7as4mfadxrg4OC6TQjRvCLG
ZTazW4Lahyv+t+ZFzpOLACRiLBVGY+W8jchCP9G6qJWDO3Ckp2ZgIHQSIDC3TZEsLqQjxE0n7CkC
8qRt53cMUMzkWpvwNEKqTUyw+LuSQ1fYoLdnEuoQMQwWbxcoltQDVpUZ70wXpmg7I6MhulEgs0Od
36SbkcZ779jMMHbwFOOaUPDKcLY8OErvCAkgg8eh8c23xIoGkAFrAqS82e34VyzXxQau5HBRHXRL
ZCTLGWlas23AaN/yJKlfvjasWyNX/uuQqZL9q85vlowINe45rzh6CX42uBbD/APZAodeTGjjndOT
VByW0A5fyAqF1zjnqK/BLjnIrdgQPE1rilfKrq7cjI2ZN7xyvvozDzp5UHQEyTYFRR3iVxzvJIX+
nl8UfHZclz+qOlbnOJcIZTKfawcTdZxvwJgCAa/MLVOwDsQrOGmMvcb7QuLxMCbozXwTZxsacfFB
/Exx5xC4PIak1hEFmcOESreicX3zGDFEhNMBluzdjGeUkIPXg+iuPWgtG4RRyQ/Tnhgz4s0DxSyn
SQ4IWfjdJozwb/Zie88cv811UoIsB2KoftbczxdPxBOTJxYfP4nmDchK7BY4VLHJ+GILWpkgPDGQ
6rPp5hW16hmmYhPu9lfHN/RdhHj0avqd+2XPtKISQM4L2j77Nya9CAuB6aVILouDID2W6UzdQ8BS
oC8/l1THyADbzndx3xEPu35p4iF1WgCxNQzVAd15cWm19n+6ZKD+WfKoTLZW0rJ6tIpc8sFlyaLS
TT+xvzgtk6NbCEORfJtBbb9zu6QPnmUluCOiprQAhA3Y4nZ136DvY9qU+/dmxJW/ZfLmTERgk32O
gk85O7Lb3d0EGIeXgDYXk3r23hJMdVfr+ocuVYJwmmllklk1KpiOBFAKA9TMQ2/4+mZOnHXlaCfj
Frcd7o4yIiaCTZ/R7BgSQEeJZhUOxMgxQhfydyt6+6ZKPOZEE/IDsOMkThxbsl6ZdFg/iZNuX/LJ
dj5kLqAS+SaPWRiIDjSmJSgSNs7g93+kZ2SoDgcfGCmzcPlo2l4c7QeAF/NG5vDKdsk0ZLyd9gAg
dxxtxUMDkBhmiMwA+8hhMuqbQTvOj7FveaJKq6oohJiLbh2Ta08VANvRQEuuSy546w88BjT6Vl7E
b+DRNEurwZnuQb8AQTTnUoeo1GLsFAlDvQuYjfmctqnxEaUKww3jejwSuZLmFqp+/8tu151gwb7q
V2x4tbe1uzl7n0b0p4Bu8RBuLIz1T5VsHOcYa0YLXFTL+DLmIyItgu7s7jRHCEo2PAL4/VlQrDYc
Yl8ezYoIxX0x4oHY0P+2oGPsqj31nvA/y4gpzeTABwjyYqda/Lp2j8TJ1U7yA8m/3LjGQsWmogTl
fdnVG23OaivWVINtUEXoBXvL+D1bcfMTBmMFm54hiUEeRbBIDBmyRG5uzJsuAok6LA0/rInFPRkH
MceDm+xKG0iC4c67Mp3ALgQuIJMZEs5D1hhGyPRS7kWninCd4XDl6ugKSpYgX39gdSJV+TtYhPWD
J9H+Q/ohriuNo32jaj+4+oNia5hMo8F/sfAfF2tO69Dsg+TJmC1wxsPI58dL8To5I8cVybZLdZBd
Nv+IHNk9d6pPzF2KT3fGFB53FtLdZvhD/PXw22FlBGVEdkm5rYHErONqS/6xZacVrqokeXaaueaK
7YRzi3AYTJUgGJoFHE8hFoaxSnYwjMY/qUEMTLO05dO4cKgAjYiaYceI1wdfV60sg6gHHXZk6Deh
ns6n+UwsAuO0tig1fQA3LfjmhL2HM9vQVKKqLe4IIBvKHWJOVvuuKlQYQ+d6avLWeKwBpYSLD7we
9MmCBKFVfjjiB9nWQYYZ2m2H0SSn2jPOeRGxtZ/wWBA8m3jBcx3hYCXKmzHfhosSMlCsNCK62moL
E2qAh+MGrDgVkuHMfLTY416sviz3DYtLbMI5kISJ6AqNfHs1H7CZKH7MYIwQOBpD8pX7sUo2rR9R
FVUG2qQNOpTVGjWK+tXEnfA8oov4FGVcH8d5nprTQOjpW0VnXJOjoZghOnVs7mlj3XsiJVBl2sgP
AgT2pnUDgJPyMED1Af0P0opN/nTEzkw6bFi5huv2Qckx09u+5DFEb7FQYA/ElgO8UOYVqWdr3RQS
NM5+Vo4JeknZm9EoviqAaz4jd5nEG2XhFN/o0mC75XoxadW4Du5qEmNGDMrItM9pKU0wRuQhcSy7
+anPXHUlTIBRm5NDdnAd1qkbPTXZIcVxyRI6dpn519mnh8lCYQBLySEOoEB6WXVjSfC/Y1ufSiGW
uynJX5KFJR5OWOTuNoY9ohYPaW30O2FBQx2Fd9/xAtynBlO9mTUV6kmHyBCf8kPVGqswTos8HOaF
xmJJs12yMiknPZp7MizTAyEA1cPo9OW1nFW96y2qRqwgs1pxNTMK5ho2T2gQB7LxZ/zt85R5wK7d
DlRrAeuutsC8jSHykfFa4ct/NSu0GxywWbBjbfOjivTAOFMgikZNF8IKnfduNd1j5prGnXAH71g7
U3CK/AgmJ7tLpOMI0MxdELXwmyxYpOh65QIIqqjuEhgJ50Wr0dnWURBtUYpXX7LzDy3pwX+aOcmv
sdY4hnQV/CTiWJ79RNhvovWAunGBbn0+IEgcIBl6Z4AX06RRgj1aq9y4LozR/e1kNxMVb9I1z6VC
Ny9YnjDeJ7T02S4T4wZPI/JlUjSPPsLSl4aQzl/RYC7AJszZ+KMHv+p+2TltEAVASohtFbHCOZBC
MALvBCC1wxAQm2TxNcUnXHh1ma2EylInAFCwcCER2ljNnI/7guzlTZ7JADyoI7O9JVvgqkg46HHM
hhUzsgSUu65FpYBCgzuzkU0Kd6sh/mEjR5vsW2qk7tx8Hzs9f7WfvecsejcNYAR302TwUGgTX8LR
LWkT9nVm44UUdefAR/HZwW/syvJ+9f5ofTVuKqKdI4J83slOBsiogyk4lu3YxcR+JBTRI9bPL0n+
zS5lknMDi2C8m7Np8VlMJhSmZNV4v1Xp9MBp4jZFp+3gYBhs+9HpTV2GsTQ5EiPpjTs2nfG8bRqg
XhtwLrN7SNOI5jwrKg0oQgvzMqimgdGjqZ56SbrhnkjL/nc/Yx44/P/56P/dfJTniiOJ2fj/eUb6
0pNI+56v8tn/yAPOn/1Lt2j9g72shCwgPI8Jg8vc+69Jqc/M07YE/BwWFn9XziJoZPguEDnaYKI9
h//YX8pZIf/B/yG9QPo2ren6p/4bc1LP/1fVIgN+fjxNh4ccjJn7yv/8m3Q2ieY148EThzhzy+Lg
Q35GMoKiBKun77538I4erBnVXtvk5jbOF94TM589DGcOZoLR9ccLsdnpNte0NGAOW/KiX4al2lWa
QtJnKLNLvLY4cQDpD/h2/cnMUjBVWR8b6TZYKopnLd3lZMylzLeSLuURb6q9ryjE7wWU903BpPaY
VQN/C7hyySbzhik08/FoVI364uaet8jAiDoOyjTYFYEl78ye2LeY+Ww4C3I/aNigN4IkCTnw07Dr
M0mKnBVsA/oO5ioAGpLMDj4zqBMllcNs7gnMcA71PJhPPu7A+7zxgHygtqbOm6A4OFBKzoaVUiBD
aCJR0ycRyS7imi28UO8FUtFkw7A1O5Syxb0Wa062beLwElvuQHYL48ud1zb1VUun+SCfvb1DVXVx
Fo6dwLxdUBeiqyiOy1xc6Jxu0CY9JAbYNNcZrmCWb3HokKTh+P1+vc4WL1bcsDhhOQ7WLXdslKCR
JJEiuySPvOeePdO3no8D0HLSB1FnN4qrnsVdyawU5x3SN5Z6+6ScA0bAgTI1tElRv+OFmm9npYhR
yyayJBbZXEFvYH5YhOE9F07WnlU2d8eJjvIWOncBp4z8gt0s+9zcMD7NT145+UeNIuqIoFq/aAQ6
1oY1X15upkV3VDfWBZW3capFa/zu7D7CuA77dsOTxoS7Gv0fY+GJm4pSl1CAxN4yZYdrDYY8/UyR
fYcmT+UR07ZfbWo3qQ5m7Va/NCsMdEKSOtAysw/V1D97Ofs/g2DxD8xZ88cSz9MVCx5SxZSuooFU
d6nS1r9kBfrU1vLYI3YkydVTfNEkeu9VaxvHgITxA9E24gFjC9Y5Br01TJqcJ9pFHok+bLjDBJ7f
FhNpiZsiF9PW8kvrMhP0M29cK/Nfex+n2rYLxuQEJGd+mtJ4OqHEsq7CKgZQpm6j321Xjuco95yt
DYnhoPOl/zWW0XiJKDuP6yrvmUKSsRUKifHeNjL1q6DNVHRNS9du9WS47V1ARA0hCWNpqJ1jMVEl
+N4Ic3tEyxeNsjkaAGMP1WLwYyoQkFfteSXxpgY2o87gq2jzyU/CLsZrgBjRrm+wy7X0dbo8+5mI
QiM15T3HBbqzPBXpXZZg+JMMva5jv/QXzYLzOlla0rn77vwULDXBYHnfYQVsLUaBgYjvzX4mVE5Y
mdhrBSEynfy1RrR84nainOSr0RqpuWB0ZfdiQUBJCZ9fETYNYR9NFYhEq0Cz70xH3x99zIDG2DxA
soruWSTiKC/xIeumx6TaofTaA0XHSRV4RXoRGUw3v569i5V00w3gzeRg2qK/gJIZyRwryl9ug6MU
nxMOHobiL03k1AFYSjt6tlQpPujeEYWg6GRx06ont8LAnTqs7VMmjwfKXN6teSzzuyguxgfJ3Jfd
iDuCxyKgdNsEMGs5UkOYM0ejNdXRr3VCckoEWyl39bkH8nK1vKC8pojdX1uDuaKJMfhrtDGwojWp
xTFapPHkz4O4151wX4l8Rz1pIS+96UdGj2nvZwDXAh7pykYElgPdra2xeXVr1JloVNVrmhCrltv5
0G8Kv1hCJt/ePkM8D34/T/ZmxxhEL8Q/to7CWGp0In5y/DLaJ4yPjQ0anZmYncq+xGWKLqb03IMM
ehlaqGB3Mdlnp0wNwRvOV3/fdmJ4bAMVXfnH6NT0o//GLqckrU8l+x7s+53w4LITl1p9UMfrPa1N
+UsMafArkGV5HTzwUOw78DAuADfyzOtDcqRsDLoGIZE4nAhnbsvS2bpFnpxzvFpnrMuM7QcJc3ix
ymsDI36b5elvoSbJTJpyMVEryKnfAwj81dgLUuF58B+p2LZxOc0kfvnxMxNQ/VV15rjzlD0degVm
mR5egGz1ZjpROI1Jk0CkHEcIQIxutr2ymwvD/J4xMHRbNdTxlu6LN9IU1RHNPNZ4qlfHfiPy7+wy
OLm1an0sY4liIo1vsXOrI0d1aM2YYEtWDke4bDiHlUW2MiBmIKCqT0EFs5MtzjlKWRP7eA9dOxsq
CaNgmPZ5nxWnZMjW3wXkXKjQVxCNrX7h3+FkHsDHbamcJxAXJtkAakVOIT1dQtGO7p7IWv1oG8ot
0dvVwXGiUA9Lkl4YIE9ofrNHf8HYW5QDiqGO+6wZ7PwYMe7+AKJSnqeGj6fimccMXgLlnBrnlkYD
fQzueoSa1XzD3u7Q28ty9PS0HKpRFG+4Oj9xu/Gfjd6Tye+O6GSplSuAb1THvQO/ygXNTJNQM/kx
7MfOzYezk9XmkzPrTgK1zab7xK9m1OnSHWzy72CNQuSw9sS+igSJkPFnipR3BharXnk/2osvYSbb
MCi5Zob6s+xLfZSi8c89ED54QC5jiqS6rl4i9P3o12JdRk98ASWfqVihy4zC3qWYe6xFbXJnxRMR
cAD94VVM1qExl/pa2JV56dK0fBu1qUOdxI25NQ2tm/0osu4ovJ69a+CZwZ/SsIGKGkaA7Td3SASz
FYECsRzTkH225xw8oLCnyqmMRz/O4zRMmJ4eq2kaGFN3lVcc4BvWj9QXaXVboNNNGMkUyRpMaW+T
kwnXSu6QTWbjfTBN6gytuiA1w06/Sk6cmbWhh4IOvfSmgyv8YuPfDDPK3a3MAQZ3vi72kwBNxT/7
9rEkwHRvZ+wfjDo1QztYSRKwP4+ozUU4+KBKEI7cG+x1KsBg/MDupOqp3g0TQbp0QZhJKS0wvubx
ViEw/hzTafpDd/yJb5I9QaHfvUabOM2duL4PUCgRZTn0x4WMxm3FnODiI7WjWDX1DYJltasjFsb+
OtwaC66njuHL2W7ls1jGEjfkmIdiMOi9kAntEnY/G3iz8c4t3GqfEB18A2xyxOwQgSqsR+Opz0sS
6lzLI/Wk8nDLz9EnCBTSWgAtAqdlPejjrnhO3dq7TWHaX1GmTodu0f2eJDNr6yWF9xQzHroAD0fN
mYkF+bzTo6QTmiykmcEzVEfMuQpfwocFnCmURhNdS4atoTnWqP85ohjHZe7dULM8N4rIDuOWJTDE
9iElIpX1cYKGnvYe2HDo5tjktyjK/TCJzGSf9fD2qa5G41RC7L3xpdKhpSbnWE6e9RQxVAlVY0KA
N0R0JKc2P7Dktl4xwNfs3zv7mHt6PKVFVF/9sWA0NRD7DNPENNI3N1X9sR3zhqm13e8mgaPWSStS
Hf3FeeWiY8jmKUl3kHoidEaZn1OrlEc/6uG5xk31h6E0+WudW7zovCoP0HnMsDV9cVwQLZ6Cdnb2
Kwr8VOnG2jl5FHDVzABBqQbsHdSI6UJSwQMu4j11qnkBIJeFslA/CIrftaOT3GEV+lnpkag8Fssv
5Haui0OldmlN09IwmmIvZU7nhriUUEUVYJ7JSdnirJQSVpIIs3kwcKKXfTE+mjkkDhPK624mqpbf
gPmZwpp7/ltn+R8owYTzr1qwf+3TVvHU3/o0Q8olG80UbduIgN2wXXQsOvCBKxFRINys3mXVaLy0
gZieJTnnb7PUzb1IlviGIMr2Z5SOWehoCnxm1CI+JMPcPE92sOxN12h3uZ/DV1GBca1IY0x4aVNC
4By+AUJTHEoJIxLpGztEw6CoqfQ2En11aLTvhHAfbqRMjd9k9EH/Nab63siK7lgqD+tGZ52MvnHD
qA2sNzEM/k1vkRmUtUG981ccUJW77p1T5PkeR41CltrK5aQgqv+iUo8PrtDZBtDFe63d69APTw4V
Cpu+Kt8FgZh37pLMD3qoLlGaL5cU6zEVuMTdbVoKjAHxleTWFBNRnpuVp/0p+hYPG9YHdMNoXWQS
snqsfyxiTZNrUjb7q5JSXwDizqcE4pWNGkZ4D3Xd6fuuWAgdnjgObpm4iS93MNPPJmKw1DgGw2fw
Do/1gtFhAx18s2BZMMN61t4NKcnG0QXWvOuyhUWVkEO6hHNtTl+6m966ZGmB/7jp3lFlsXenttjr
mN7Ja1zG1GpJb6PRlSxamcwhuHHBu4Cm7EIWJ+n9klfc0DATzhH965UwAVLKbfiZj7zowWkKpvEk
akefljW2GTENA8MEKwI8nXF6TkpEK+QHSEDrsq0Gn4WtUV8AYWf3+rvkLr7LbwRdxg23MEV51kCJ
54MUe5Ne/ttOkdzbayVvfxf1cq3vre9Kn2ko1IK1/h8N2V+CtSeA8RyQok6fMLDtdzaK4Nb7LmMB
27Avey7XBkN99xoelRmH0dqC2N/dyLA2JnjQx2v53a1Ea+MyKuDjpTdCmU7moA3toTXCOCEcPvhu
eeR3+2P5qmqOfetPW6k8izx7NwhnB2A9fnge3AClEnN8y3+HzCE2gcRCL0gevK7yp8MsZ9Bncu23
wFU+NcrxdoXRPBoiTY/sd4hyJ9nrkSUcA9qUSpnIzMnYsFZfIOZW7Q2uJPZ7KuqJHM6GZpsAB43B
4xIvnDDTXwnNqGfwFV4DOfqvLd/BvDHXljFfm8f8u4/E0pnfJjky0LXJJGI9247fnaf33YUGa0Pa
WHZ+aNcmdVjb1cHy4ktLB9usrWy6NrUkjfoX/pJro0vLq9bmt1jbYAh9+aNcW2PXiOXPyml/4hzM
P7y1gR7WVnpZm+pqba/ld6e9rE13srbfwdqIo5OnJy/W9rxcG3W9tuz92rxPaxtPviAdvVqbe0Jj
jd/L2vBnHNJlBKCz1yyCNsP3ZCBfhwTDOi5w18GB6Idg95+fqNaqY/27RPDfD1RqQ2TfAi/FKuT7
24EaKAglBFbLA3vNp+XNfmvfjbf2cbzrHvBzVvdGcfef/0TnX0WJ/MTVoEySjhPw5n9LB//2E0fm
BTAS0ujAQiD6KOouhQnrZPNdPqWL2FIYNkhd297bWnGefFju0oeEPud/FsudcErNabSvMhZldNEU
iOESwfdlaI2w7rC4kfGjA2H77PkktSJVqEdrmztQ4gl0mxWOt7q92PhxzqgYphMXM68b04GN58tH
TI7ywGg/pncus33hWO1+7iCVM09ffiFpj07dGBUn3bry0M+F8VKmo7pAxMsfklLHN6IYrOVGU989
JYG3vDtjmhGlMLLpyKZUvTqxvb6OWEt+/Bcf6uqq/qev0RGoTS0PgoTleMSM/fPX2JFHTq/XGoe5
l865Al7RCxZCLnKjUAjaLcCX7tV0Vt+LtYKU3XRwD4iMrJ+dTJJqy4I1/pz1MJ7LwplvDGl1V8lQ
9o36rn61ZXNhNdeFgxksYLltPMRlnw4bgvxyXs3MBkLuz/nR7JkdsOEkNmPnxYZ/xghY1WE/87ci
IpUEU/Itq3e1DAVBmL3Hhm1Z76P8+2rKvq+p5fvKcr6vr2S9yYL1Tvv+wP5fRrba2B7/60n9/7iq
98+vLvn7rP6vP/nXnN75B05UQBaSMT21g8Wj9L/m9GZgo+oNnH+XOvMQ/sUXAGThMNGHjkZ4F8Mr
mz/0Pyf19j9gFKDcB6zqWKiMxH9nUv+/1X+BcBFGm2wQOLAs+1/oAn3VB54aXH1oUKo+seuf75FW
YpMi70R9GMGS3yC8apvtf/5+WZ6zbgD+6Q0LHAd1jXR9lM1oV/7lJw8dlvfJRfTnOUO0T5XtNu+l
QK6GRNJisg3TAEYbSKLhrWiyZiGgvCYwS/p0I9ixR9M7mEUDD7ODkPozIjiP8B+MC6g+qJm5jG3G
xV0TIZEqwQrAu7QqZvIDItKNhdpudZ/I+cNGfmr3s6ogi9v+z3INyZ1BZr6W38m5ptD6YWaQ2+zy
NVo3/U7ZlU3Era4tMay79XTvWq7eMT+6cdI6JZxnP48LkdJL9YG9e5v0GEqoXepdF9W/daEskrTH
7IHEFP9HsLAAsCMDf03ZWLDyXAdOHg1o9GJoZFrhEhv1Cco0QR7R/AXXnVhxxJWRzgRnEkOAcUyu
Mhn8vZ5KZNm4peFMVq+MAfR2ZALHbyueNPMrcPMCIXYLtJm137Yo6wGdpe3cVw3hixM8V8TG8S4e
B/6gain+Gq8gusqsKBhVtmUO8d4Y0CfiwLkxXWSeCUn1yAoOVVTsR0VwQstKHDcezlvkttvORU7V
JTWrXLz/9yNEx4s5NP1piRSyjQLoWI87bVcrZ8AiblbbIaZL78fUD3Nqlh3u6/7QoxZD4N5ZCGVs
9+SYaM/w5DGIU8NwRlmSHuyRkffCZnQ7uMSYwh4e9oAuMIWXuXcI1txqtcxsM0ayrKkNa9CiVlyc
KrSGn41FFPbgEFXgG55xhyakOlmMzh/npejyXYW9lRnLwN4E8+XKfclMm3WJTMp45zAEDnag85Bs
jGyu3il6oNk1i833jo/P/xkPjrz159T6YNFafhIpkFEK52sBLpJxgKyeX0yEVegfsd/fgfxFeDS3
MH3JGcem05yTpazRJ0I/2yANh2NrLmRmh+o7qhyeLJxI9K+eB6fbq0FWaeS+ZuRSBjpr3rkgOurO
+Q5Bnywb601XWkROg2045EYin0rXUC3DG1LUW+5wEeK3Rf6Gwk/emgqR2qZb09cFhtq9EydzfI7j
BiBha7b+z45mKt9Ea4Z769vIEVvfgGA2SvO0JtBVZBGQ/L7wQkHQGlGXJiYsVwfj8XPNbCtClQim
jQ9zzZS3Z8JJUbQ02MXKWr8GcYu2i+y38YlxnVjt4I4aQ+mOcXueRzLt67ZpD55Nzn1uJ+1w6EvL
+QNRPwrQlApkLHbX2lTdy+waj9Lrx70XtMtN3iFog2kllE3gHmX8qvpPngeRIkVIW5xBjUkZw/9s
mCGp/zgQYjPy9yu7fbEYoNvnTy/OP7oyuRB4xfDNcPbDjCq01KI4ojyw7z2H/WDrgDnrc0ZQBM9c
gh5BGwZgkgLMptvRarB+bNq7ylu6a5uZn0lueSizFG7YvoiPoC6b24pV514Aytr7c0kSW+mn1yQy
+gOifHlD0pIIe8hrH4unkN2UhndnzllM0z2v25wun/6UJRXiJh1FehOAX2PPmQEwQuo8a0gbs2t9
+OR/nQsxFDdMUu4nvyQRxu2s3t5Z2Om8r7aerQIyHzwXYK0GwNHJeEMEFFZ9B1/es9wXrGw+kl49
PGD7QAeSpGwCCNrR52VYvhobbOG2A1a4T1QT7eiw/VttM0V3cgRTkF/icCxjglb6pLwaJmuGrWsP
GLAhlDwy3MntZ20siqTWOSd7IsbX0RvlcNeNQ5eHSU1a7JT28z0zJ7iefS1QftioqbdupAxOi/hD
6gzVVeXKoy0nfjFW11useXwa0M5eZFEnMC2ATJbTyH8BPuopHvM7HTkdpN4IkpxAx1a6575I/NtG
eAlgA/cPt1N6h9WjORSqjRG786R0J2LDp20TMWwMwc6YSNs6KOM7gyXOJ1q/DC1WrsyLz3IAA0pE
PECYrDNlbPhkrCL/ekQXmf/AtJiHBbDpL9SVw4HoB2DLAS/MwW211EcSWjMn1FrLu5YB4qvP98Rq
zlJHQjCqz4F4zGs3tdHHDDDGeerakmO2XyryeuveJtE9VZ7KdtT5pBsZCEtx1ajlNk4xxWeD+dEk
bo2bEedcISx947MEn1T1ZkwDcutk6pDe5F1u+7tRe7ZFAhud1cZppCRPr4VIOubCSQgWyxwcPf44
IadS2ND12F5nWT1EiAkh7qVqh3zbuBa9E91NxsjQqANBLB1WQyrdQWe3GCTHcxjHp9Lys3AEVAH5
jpvJJYbXztOYXwHqqTY/6cJ/z5zvJGoi5gc8Np/SJYDUM7XiaBgIz9J49TKI4kLGAq3OoNgmafIN
ohgxzpLEfMlMum8yN36NSdAN237kAYhGjufY7jdj73RwG4wleSwndhV1lu6NMQpTFvz7njXZJcGE
SwvfW3hM/fRziiEDRYPub4sOEAQ4D7GppwlzatdiiOgidWh8AnL4hsaQWtDedhb+BXYVL1Gh+SBZ
AIelxwdbtFV0W0vNRrBrXkY3wVVaV+rYB7gXKDV89AuqP9QYyQ6cQIDt3SYOZa680BxEvnMrxzti
8cX+mwHzMWZe31I49xPfO0E6uGaF0iSTGzkwFxaz8UHh8kfGqOyVMOy4N5QL3c8UgQsoRmJb9gMx
eVcvbYIws/pOhnUVjT/ZHRePfr+YN2ZQ5H+6yfVO2Metk6WD8UfWYBMbBNx+JB5mrbbONFS72Dej
P2ayDEfPnSV4hEI0O67Z6IDizCXMLLWSK3hVbs4cz8+ZMBn4KCKz3wNLtezPxXRPEBHSNqOpgpTP
W3jnOCixxGmdleeYBd9THFjujSm19Ty3WfRVdMzXVpljeQBdkuYcTFZ0ynrTPcd81CbseuiT9Jfp
mVelw2MSz5o0TzJlDnjZrVcb3cvGcR3UcYTXMW4RRfxJFqNJiDWW1JovoSqvWO2MZ/rq7Jgm3XwD
/oIllDnrN8fty5uhxSW+WSgf7pg1I/fosO+fezQHQQg/Y3nOs3n+GjKv5DUlVfFR+YF+RI3QEGHy
b+yd2W4jSZqln8gSvpq7A4O+IJ27SJEUtd44pFTI99V8f/r+GFU1qOxGAVM3jRlgbhIRmakIBcPd
7F/O+U7M4IXSlg02pf06CVL1gqdPOwVRUeyjQNc2k8Hsg8uPfDmE1BIVtoV/Lc9x1tijGG/9kFvb
voj7i/DMlmpSBmdTle4x012dAYvrvIlsSJd1WJdvpkW3Xup09m14atxEPpDKJuYVC+Fe8pxZOZV7
hM6XE09fSITn+PvNGcl605BPZFDwDAFWdaems1h0BEVlqCcgz0C2DfITKNNoAzkbM1hfUDDmU3uV
rZh3TsV3ULiF/mzKnm0Oq23zFgSDRKUrjEQ/c0VwvwEF6CcOMDx1cGFjgsQJOEMG5K2lWcxrxFD3
oCcrQc7pfSZxpa/IOEg5Z4ppwyxYruu6ir4pWrKVkNUd4IUtPMSEOBWbHErmrkJ//s5LO1+Fp6g2
7bHAQM1v4grNWCX3iYids4KVuRmeSywUJ7S4/fhZmsZYX6YxrrMnNuwhKdvk2iB+6GjwlsQuJsMC
eA/mGMvo0Xw4mARwq7kgc21E7NfcGsLbWOnxz4zLfkPSUViu5sEKN12jqUs1Gfp7V3rWrRtZbiI0
Nby3bg69GchVXDyFuYi+x0Eme2QY5mdtGW2IIzNGbT5gWrpqFKi/GpNMy3AozfvKeKyvU6NzVsy1
wQFN4c2phown3NQjOq1Fg7vrVfLX/ZkGjvVsS002N8Q+sj0F+CNNrHeDUax0NI0r8MfNCodBohMX
H06d7+Wh0+CdQ2m+q3QeQr8jkzKhbldsnvNJsilLeXstJO66X3IfHko98eQiNevqFDbQ8EnWISUR
bxdbNf5hTABQq3BXl535ns1DtCl0r3qpsDx9GrRE6Aqq+trY1iUWvR+SI+1XynUP7RSyO+U5xAEu
tU9YQMNHWHjJTsZ2/JLMvXjTq9J2V6wrrXcZT+O+b4dp3UOSvitF5CUkKztcsIgNtlZyjxCo0h0V
dfSA22TY1qoDQMtH+Nk7YQ/sSMizFVXNmhzFjd6WDk7UZNpjMtD9ru+Sa2EJ6+i1Zvc7zJBAgLpi
+T66NbFUhIsEh7KZG04cJziGkfvRhdG36PPx0lVaUCzGusk5rQ04KUr23k/nVs4yAsi2tgwJEQ9+
9Qtc4+51SHhzMlG0r4DmWe6N0jwWILj3MUaOC6keP6EV4eipWu9aU86ekdHjEIrj6pdlWmSQITbf
FiqVt5kIsP0catpKn9vhBURugq4njU4qsJNzOTfmampqhZdKr9qHMbAGwofCaifDPGK3oiQs3xh9
U5MM1RnCRPZVT4bF5K9oMdViNMTq2DyCqE13yAhemTvHpT+yAr8nFJjdaiw9d9kMk7FGXDJ/RjJD
q3BfUKeZSQ3UJsZbD1ufYFamGABovbeYFKWPgMi8jR1Sp3Gt9tcpLKePmFrsBLoY36gK2mOHkump
pcojfTTTrPUsKrE3Las6BvjVntmteEtI0d1HjK8Fj3Abf04SfA+mDlpqHazTkbQ0XCH9xNsVc6v4
ETlsGDq5U1ws20tCRwnKI052rqLkWJh98JK5ttrDVUteRMlzpSKZ0wmi9nFRL2POM/Wz42lsY5x+
YEnXZbdxqoxjJPLixxpGNkOsKY2bSz150nLuPKhxgfnthikdVkf0wUELFRbvOUB6L3jQSLnK2FKR
OpN2rx3o9dAvhVW9tsgq0Fl5o/6U2qzznAZ4YAITZkTh1ZGCOXp18UYMTfA5YP+p8WpyvhxU2cjz
zOn3Mjf45h5AkWF+yWVuNesEN9Zn2A70VwhRzK9eFijjjHwmicspcfHoFdhmzXktJUMaO2/LB4jb
dEoDZwffUIJZg9CIdcxm8IpWXF/psrG3fJLqsdFVf5zTvv3s8g5Wdg8EXmEBXKkyzrZTZ07rOVLl
g3I5MEooim+No8XrMM3FFRWPvUxyLVjozrLliC/Z9pcFPr9ajicm15G9FXLGdIArYlp0Q6i/gKYr
o0XFdP2n12AhomicVlMy4awP5gH2dknC72tKD4nqOra30KTY0fCHD6kJrICG2oiUla+pAtCqY7J/
J+ZHvzlJwQMU6zPfg1DldcI7MzIICosXK69/VBrXYEacqficYav8lNSgu8gWHEOElPkRdFrf7gV5
5WP8lYYMtnS80STXfGYj5qGWq3k5tJhMB1jQ92LsxfZAIE2NetICNDLAzMUBuzrpbOQBLYjTsH1s
Vg9pVxEO0LlXcqusx8AMcrD/loEwy8qZAowBOUVtURwAv8hdPBJrRCvh2vs5R5DkZ5F5v6ZyUqvb
2vecjP2ip3jTxHwYu8k9xuEU+Qw9mo3uBdpXxOPzVRFgNGPLLHO+PqtB6aMa6Omg1hKH6TWZnDPU
d33D3UzEYiDY0re6iWlL2MMmAz6+IJ+7ebQN7fE+E3rXZGBVi7wa7tEggv0jld0d78N5BUPVBRE2
KJvBuRch/ekSGk9y6GeL+dvc+iYQxBcN5Zpk7dfIC6VBZoH9SoNHFMCEtQ0IiFr4KUjpzdg3FQFu
bjDxXmagTlEPomRDrEgWQNyVzcFq7rkMVmcEr3WImUE1lXpPcKEdIciRmi0jrGHK6u2LGXf1seZ3
W5Z1HZwj+CZHrRJglwKvdA7dXV9llmmyN9i8HqpWqw6xFbtXqZOFXgz4gnz0bsXbpPr2keGaglph
Iq5j25inq7oX0wB7r0pWoTXhEatnvzVAns2hoX0Loj13PRmtT5KTiV1OB3K8rmacArObrsOku4dt
afMjGuV4ExlOidUwyd3jmLbVZRYjShpSEPhPwiy2shxm8kEzB/FDlTyTpMIpOJboSA0TF0PF8ApO
I17tR3oC4+XuyiU/VOupuRxrayous7bsFyF+Gdo9nVWfIZ7dFnlvMgHwQr4W8reJf3KVjNl4cQKD
BPWJHWCbyWovSpg6k4AmpcUUIAIpta9yQhRmlK6062QZ5vUjJIF23aQoV3F/cJHyU3vXWm7+gHVp
WJsZ16lfRAnhCZMboMEyI97xErPEUrpTsOnSumExhl/+pGeeesHorr+4QxES/D0lEcoAUOTLXibx
yoGfT588xNWNdWuurWNbYaCbiVwt1ixctZKtbmQwkq1KwtFzhh8d8RyheAWKp/auFrGf7SmiU/Lk
kv4K6KyJyWnFwBY5M2r5DDUFga+2tFmT1XH3kzj5vJm7QX6kxiyv7uiV+topMgEINZESZYBZcm4l
NZYZxGeQDJZE6qJ7w/mVksQW45pPXa967Swz+erFnfzPOlmzdqNqArmfGfXfYmsu3moTBpNIivpx
hECAgxH77qWfQmQSxmS452pgEGf2d5Je2r7bOgCpwFXYRSG4fIjSjNYV0FMQ+o7JpsvIXxIFSHNR
uGO9BlQIRaNAjism1P4RLHylVeNJxihvyWr2yqe27Ucfz+58Y3xp793acM4kNzFiSNAjP4TdzLqw
rU33m6kB/IMQmBkCjobVgcC9YyHoH5otM2S8usiSxrfYlVwQjFCnY5tbzqqLLnHldJ0fFtj9UhKJ
H0IgwFYqm9Q3Mmc8Qqabxq3imiF3fI7aLzdKVLmMppE8XKLlMBsxdbaREJsmDIxhyjw/dqa75d5k
UusjpUGDYoLWALI7GefM8tqLORnzK4Pz4SJkR36Np2MmKyy1aRE7PptQEh4BOlmr2AVlui5jBCxE
PySPCh4ZffngIv6v0ug9JvvuwMqyPzfCAE2Qz3pkHWpywjT+Cu4ZahG2+tMUU2XhfRD92zS3kvE/
xfU6wnm60aJ4fBy9Bt+8Y6UE4aV8EJcSLa5YhpjNvgMdfu4ytnT9KQwY9OI20vKnJCY9dRQBDTR7
XJvrVEGf8CIaqTE37VNT6uoKflO7GoNZPE7CLnC5BnH9Po9ufAKgUdPL1648auAzGeMUKim2cVvr
zzLyjANxvShic6J1IS10zD8XbpI7e+gQwZ9xms+fFQQxa0VGNL1nr9UDsJIZDoecTNq4GZPmK09b
3y+LLOYmYOo5PoJgDv4cRHs/4HiJbJ3/yXFMYgX0dj6isXX2ZLJqm7DO1YGznQtIedq3gn8d+R6J
SxtYKeJZiri6jLJBU0XE84M1tChmzKj7UZ0VbySPbb2AMFc7RMWO4y+ZQBVsss6nh8gSEvbaYltY
s7O3Obf93imzJ2vs7b0wCgSvAH2+i+QOi5zlZG2qTCu2iYUyxL/TEz/1Cnk1SBWnvNIiMf2uyGVN
e9O9IEPJ/gRnhkbBaPhHwzmk8H++hXeGSKPumYwuoVVij9cClRqf4VMxqPZPbqDcXSTO4N3ErJtI
LvLGiFelis5d7qhrWaY22wPOlgLfuWUdPK1tz7npZIdK54ug093zs6VzlmPBNAEfePcxM1a7X8i9
cXQ7bC+BQ1eyAPWaXWEvQPSNvMSoCGAu58sIIHtDOjZrEy2WF5ZbxS7TdCg6BjZQIx3B+/XghxsL
9n7T6BBmI9T6eT/JPV8WPvJ2i69RB6bDT9+ioE9XelyOn7TM7qlz5vk8jfl3raMZSzu0wFGJ1jnx
pqNspxziHKZRlvtovCPvaYoh+6Qyu4ctM7rcIZG+M4SGMV4lhiZvJmY+BLcOL89Utb6V3ZE5DXl0
6572lQ1Nx4RDkBy/I+yk/XCiUp4DTcMsZJljc7Uo6OkEMlv02O+55fpxrPZxb98dpV6o3kP2/A9s
V/8smxR5RtUq+zFC43QcZGldRsYZH4XjWjYBK0HY0u6yvok6nqYBCiWnanAuY6TcocZMIW064wd3
dS+Qs9bkVumlwnjC2J1g69QepnxpUyIcOuEUr2bIlRXlHiVLdGef68YQLxAmE17c6dUL+9R2l/P5
rqK6LbcjESC+hspp5U6aW24007a4TUOYv3Hb5h/SDNSR3WG3yuTk/vSwQQ6DuPunue7fNSdCHTZ1
GSlyqdZ7+y6wKWSdhL2VOXd0MIYeDQdlKEY5eW36Ltscxr2V/VnZYG8BuLZiFyBbXljMSAjtYY5x
bEebQ85z6mpctCrCXcHOx/T04RY7o/VdDtP4FVO23uqx65qFRCrF+Y9Z9UF6iVsuZlI9P+qU/SXh
pTQ9jEgpTeacHm/RJxzGfYfpjGeoNblo0jY6DkLTvjKsN/lqqAK4TEikcCIVntwF+IsP/KHEzKPe
jHjdzH432W3IzVWEIFmVXZGmFBpkRSZBNr3WsB7Y20Te2jAq7vyiRlYagA8keSYwyI5snXg+Ykvl
9G4HI907HsbVcFTI5O10cv70kNgxy9PucazpWHJbGXEVELLlTfapAnAE0qA1iZcGocHSMy8gSi6k
7ExymcaR3wbZeLgNVIljJZeW/pwh8Hx2DVSbY++MJa4WIXYM2XPHt7E68S8GXrpFgED+mZ2tmS0G
FqJklBW2/U2ueXGq2KBeuLyoXTKuy0Vgc7XvWg3ao+8Y8/jGvNkgNTYRt/DeXeUuqQhwm8d2abEf
XA2Y6GFgZtrR9XrjO7XK+yWWeWsRgDMnFbLrg7WNimDpMRw+zLmGXK+ox9OksfHGUMmQPAcUwJrG
WGFC0HmzemMlkuFiCSajkRrortVbRxG+n4Ii27mCHK2W8CJ/mOr+l17ZybGjnDgZ99MZpCRB7OA4
HkRfGRBu+dGc2C1+5E5pbxpc4JMKcXNBxDZWZauReU8+uYqXpt2+RV01X5q+Lx7KlFg4FelEdgG9
3GW6o/2ZVQTOhZXbPOT3ELrgdx5dFQ+x391D6lQIrjLUCa5rZrjV1OuMiX/n2v3Pyn4g4P3voOb/
2PwqT5/5L/W//pLf/B9//en/JXHOKHpwpYGS/NdGXv9XFsX/LAv6e2wOX/Q3ZZDj/AFuxEbn40pO
vH928EoyRCzmvw4Zyn+nIP5dGYRRFwYhqSJSR2SI+gddzT+UQWAQNYOv0li30Q4iqfk3PLzefxXo
aC6KICp3XZqsMQhA+asELi5soDieAVS/ieZpUQ91e+ugH79Ffds/muNwg/0grgW+oHQR4U6CMe6F
C7tCZujbQwItKG36z4aQyB1AtG6FJN5mO8BgT7fadh1nsU1hpI1XfnnKtvsUMIzz7BctyRd7XekP
sydWdQJbkdusPFfeENxqI0S9Uevq1Syt/LOkQPeFMZH5FqTpGaLINSVc4oDTF4K0iaPNTKS20hKc
+WHkMYBO2xJ8kPc2Cui4OkMZeIgkqkkhhg0yf2T5hkGHqCqWFFP9hNYmWkX384sK27uibUz9rmvr
Jyu3xEqFCTZ78H4LsBf2NkbSvGkBP70acLa2ygiyHy+oiofeDKMvV0LKQ/DbfmGfUiD4jXyTkILX
Lyxper7VQ66A/DZyocH00T9SYnrB+tn4M2rXexj0e/qYMZNAjJGFgDuTLhYEowcoZ1FbvfZe6o6H
9KMaqN1CvWG739tHu+0TGzFh6r64IlOHqNaxe5GKjVxn9sDvLf7/kfB/ZO7XdOwiHgK7f30k3ODy
keD9Xw6Fv3/Z3w4Fz+BQMBDG/S2MyLzb9/8mF/T0P3Qbz6rFJJnwdv2elfWPQ8GCmiolh4LnkmNk
Gv9k7Df+8AwSaQnFIU3LRYb47xwKKPT+KtsDWWeyJ+IXRBprI7C///d/UhtXRSrExFW6tVDBYPeB
uU6A6TbvYTXr3vgGYuBepkbZ0lbptJnL9hcv1Gvium+5k+HBr5mx2PXw3U4xTJg2x2c7SuYyQheL
kVDuJyA4UNBA5EEPmiA+90SCc71dZMWrN5ArxPaBDRkqpJNTpUzL4inC82C/IcOo17KbrqWl/cqr
7KxPtNIZk/4lex2Lbkl8oxg+kZViMC8Q9QfCEQ4s2Y/kfk5QJYn243cN+49YZVtB1BCpfHccxoD/
MpchO+iAbt2wBW/kRJtoJgVCAsc8tIk17ytRkepT0LwsGFzhg9Sy6SXwwpsWp59D1LylWotgrgep
cSRXx2ZcNVKoEbHIombqFtBYu2s+JawVU+uhkvq4M1K7W89AyPyw9gQUSj1uPVaE0zgsElvvfvTO
O6kpxOTbmM4FRSu+mooDC3rZZlKg/goasaOTUKWJUQVfZh2KrbToRum9K1jWtQFajzoBFnS1Jzhe
frVy+mhGVBPmPWixGnq1BCvGjwqz+uqw6hw5srSdx/oQ/++Q+HNmWwzgQTizAP2FFoAREP3sY4NL
Y41sghSJBNmDrtFIMe63VmnEHmDw6mZf56NxddX8DZc0JkBnrB+HrEvfzHJ6s1xQekM6Mc33Em2R
gze16rQj8YC0knkSKS6c7If2JcXYjH+3zbgnev73uc0grg3Ynld9ru2ZjPEAQKzfahXxr7GT3WIp
b06rEoZpVGM5eLsbSgyFXclIV3eTILE8YXbFeOMudaCByzn1TOrLSLEksJ4dMwlWTijwsiX1K8+r
92vUinal0RufZqNs/Bwd06qv1I3Yihuzn5UkGxnhnmKxaKU+7kxvo+7oUIZO71kxaltEQFeQieMq
hT66QKeh8JKW7QsZu4ixpHslOueGJuFcmIJnlvd92UcWqSA94SgLxC/eZhxVGBwT06ibTU5LvSuC
GEl5ODXVmQK5Wuk2NquoSTPmtka2Kq1w2OWxXq0lz+Bj2Kp+zyo93mITgLQWRRxnntrMLZhULUFI
i9/NPJDqk1xVYrkbo2L3ShDFi44F9Slnpr4fIDtv9RZBTWvJZ9gIxiaN+/wlwxANFtFFJQmelfiF
BACs14ngvSmre0SCUSOUU+F+BpNbQ7R0LJSAdkMedND8KqsGkUhZRAs5zt6JjdJ4wRHn+dVokZE7
IBRrldxjOTAfcSmxkicddCG9Ib4MOp6tqXK7R0qAHJOanP+E88/oaK7JvHfKLTx9TLnVrF+CtGUd
LRhbTtFYrrnHq6WmAoexbYjUoh0gusnKjbdGZBfZCgN/sSCbU/reILrXSXnymTrb2WJNDl5h2QdL
oTnJ2u41SFWWE+0Sp54OtWPHz15cgYIva6YckT0b1wxZ4MnLm3mTe1nyKgvjVYsamBvynuYZFttK
jeeq7Y1f2BORh4Gq80Ws8A6ZvUTYO7K/d4GLOZ6qvmK7G371psofHYDnexQDw7Zt3WxpwdMCMpml
a51cTNfKqpNo3EMgcsNHVAueGXLJ3ZqXTxCNXVHTygUGb25sJn5+zxSq+sg5WFmenIc5qB4CvU0e
I1I+lqXWPXQy7je51davhdYRMlfmzamtp47hZ6P5wJXI3LlvP/pkTp571EEg96b5GkQMdQAy+wYi
D7+cBpQBSXfhHhK7rgzqNUzw8Kspc/J4M1q/sdZWgBqAjhhF+1imru3jYmT1UrgE1hvxA+aulGGi
VV5s4sJRNFjdosFmtrQdILRQ4gJ/AnWHmdj2sBHaovNb8rj934thrUmbh1GAVBI5M7kgz1BjOSan
cGz/AhZZ+MAd9KXleReciH/GhjstgwTdquUxXxjhSK3SPhmWZqdmRgABx0uQQoArghfNKrkV79+D
gSdxFcaDtyxbz3h1UTktmSHJFZgmDxJxZCRLo7cthewhHL4E1l/ivIqhuRmV+2MT65IPHaevvnWH
SF+5hvvIUM8DQ5aawk/caGCOGnXr3k0B1gls9Ah+j44mE3QR5HzXhj2syPN9oa3f2AJ1m+ROQK0r
vPcZAsq69qrvcuSBkiq79TWekYRlm19k2mnu52OOX5YEMpk8q7Yxdh0+8mVz/5tGMRasTYLiSJzj
6Gm94rsw5i8GkB+9YwR8qIw+VxnRIivSthNGEUW8H4PwHEd1c3QhyqInh/GpS3M5BT1pDKimfWaC
2Plm9nxWghtc9WlzC03mWbMK0f8yQdqaY/mpCU4hmaekwwQr2dpfE1rwwbK/c1jFSGpR1yMgh7pE
Afc/Znz5f7YDlrqF1E/DmPKv69199Nn8S5IVX/l3h4zzh2ezSvL+Wwisa1IMa5aFC+avGbCG/Yfh
Ou49zsF0LXY5+Jb/0QXrf3hY74iHdWxXoyq2/p2C19H/e3wEwZtwtjR+Ocvm1PlrwavhA2HDPnEy
69ZMYAu4qIJKV+c5Vp3dEQ1jB/IV1x9gXdXIGHOdSrkpuHZDnT6S5Dw4hnX/NGiDB53fbu11m4n8
6N6DwvR7ZBizxmJR6PgkgGXNQNrv4WJRVxYHvqHch+o2bEn3kcNxgtszPsh7Qln1O6zM7u7BZfgC
CTHLfgeaNY7DlCy555xZ0EbhBv+OP7N/R6FxdhKLRhAkqmu0q8QbdSGCDLYlibvVvMLut2kfJNe+
s+ttDTQAUvhYvHHno3jpAr375g/HntNVAOtlaHY3R7FmXDJxhG0+5HqwGWxy2paCG4pspQKnCoaW
nnWxWTvlOka4hg1mDOJT3OrMLRnv37MHnGrW9viYTcwEw8h9TAp04GwTRze1rTVDS1gFjRVjXZMD
KPU4KsRH2QUeMNdsih/KgLDtGvbGgzJIdEVDXzrxYTQcbWYYTBbXkgVEI/20aRQRMz0IYNRu3Xtm
pAP4dtbLv4xZmD+R5QiB46Xiapvj6ThS/IaL1vbQ37LcQQFChZZudWEMZzGL/pKYAFbNPBIJrBiC
TVZTPYg3Qtcm4Qe1VOXGqpU8o36ER2JYIeaZWUG7AeHbZ7cS/Q2r5lZrEcLOsioJbHf1H0lBeQdt
6dn77LQmjF5Rezbs/Jk6gjBTABsV2CyWMCkS1i4Q3oFFarXWKyKKjEbV52oS1Tnq4buYbVlfo8TV
TvUY24JMyCQffPIl3VVq59UnsoDxpPUJnqoJ9dUS12e6F01rrKSVMigdMSqoGM8/MlKUki0hhuvS
1qd1xOrh1ZmC6Ujgg7cFkaJexqqMXy0vga1mzi6+b+3e9QXt/KSjeT4XoVQAzsaedYE3PCY6kkn0
N/ESgV567NibM83l8XSyUfmBTlioUq3rdxaC6FDxLQ0zg9lJMNgW4GIWZdAEex0p3dbIGYQXpiw2
thblL41uETvgms9Mtqi6JfRSIisWdX/AoHn3G+QI65phSK8eq5RdHPEnHTrN9WM3Voc6oFoJAN88
V2FRwWboxr3ZMs9lu94va02CIZZT49EZWHz+qcH1RXLHfDGNHgBtARuGZ93cVAb+DT/C2vzjAgS9
AFc3/KSz9ac5HOYXQfmwzRx3okdKagcl+1gVLxl++1erTKoXVg/dD9npyYuj2zs5uLTcKb82suh4
WCrcaOeJbcd7beTqUuSW/jl4MOKX7Ly9JxaW2rKIMtDcSQ4AYOFxpgCqJjJjhaQKcBJsvs9hTkjJ
q4Syng0k9o8EFKR+M/T5F6tKBzOFKT8SDO+rKCdbzu+lgtbjOsF2qmJ9h0M8+3ZU4CHArDWUCi2U
4sfEgfa6YLtQ/RhxjUyaB+Fmzs78EznDUPnIBrLnudacy5SPZ6dElLkYozZvlnC+Bv6cRLn7Gbkw
7yYzM7ImrLGwfUIOghP+vI65u5leA6Bmv/KIvcWC5h0hhldkLYtfrdyaMmVllpCq9ZM2JQI05Zk1
00VEpTfE1fgFOxgJS3rW8NrkYfEpWRT+MkA9VMwbGBqwVOwN4FkIbRqdWFqoFq2OGjie1wD7GdMB
9V9YcTCuDJe1FNVSv2jwV69RRWmQxwKr2cM6qmmuM4AAfqGjA2UNb9eQiqLubgLOYLCmvCSVZHQH
uN5Q19DIGLRScsGPjjv1lCDcWElp1mANPXkwZRZcw8yy3iHKpPtCm4MPMSDdqvLxIQk76s8K38/F
a2Sab8shhX+qgE+A0w+7HUtCOjVdTMZO1yfzQaYufoQ6jWLcVrBuU3v0ThhFcUols+j4IDJrvgxS
hcPWYEH3FGhxdov60P4wEjFgOQmdAyBC7QJsZtjH+NIfUL4Qz5p2OTGgXVSt0CR4jzkShm1fjvYe
xIBoeMn6Aoy0NsSsTVQrxdqF+G0vB2xZR14Fg22+Ki9hnYQHo+3lfvKC/HNUtfcpsH1uajKg75pA
s/nW29aBGx8bt16P3dVsFc7KrSMXPUZT/RkG4fAJGxfdScgyhbmDgPW2mHvkHXKKEzDMbeYgWip+
WGE1qFOoNradaM11D+NgAqSr0P8EY/mQDKm5Luv7J0oabbRwBlwx7TyB8cBMfWGQI0gu1VzMWfGI
XnLhVl598iKOF8Y1dq4voqEfoB1m4DOi3AiuEUaRH7O38+5RTzsgE6VrpaCqcwf6HHmWIDvi6YKc
N+Fmb1RzKUon97BPeWqh54mD/Aw74gNmq5rLq5fpSakxXDtRXu4jiNEZy+PE+HbyIVALATBBW8I9
x/1lT8N9X9hrz9LJ4hfubLpyRpYtpDGv7CEwCPuQIXXaeMwan72ogRngNKyC3TKhp0+NDl5vHMzQ
dtnR3oCkmwrZgkoOcy006xAVk/laVpoku8xudjHJGBVOsqLc93fbP6Jn4zqyd9hbXpSSB60Rb+GG
WBTKeTjPheID8Th0F8Jp21fbq8ufyO3nVw3h3SZjNrhTs5v5kCKLKzhj68FpTLbek1TytTWaiIZj
MCmH7NCy8XI0FaykKIpPGVas1xLi85GCrbY2ATwSUPjKyx486Nrv3hyPKJzlm0ZLvMGqN/qGIFI4
Dq3Z95rKugksXTsEufAOPbOiGylwND0nsu2KFYGlCBLsNHsvQm14Ib+HAU5iNBV2O91bRXhhtEU6
G+PWGLNoL+Oy202TcO+oE0nmo1jHxIogm0wSRmDx0H9MBhYVgoyIu8xMJ3137+t0RJimu20CzSVC
uosMv9a1/ldgK29FUtKyoTBaaRWyft1Un0Vcudth4PHvoGMc9Na9WVPQbAavf9KdvnptCBNCjdrc
zQC9y4mV9LZ29xSWnE1ZmD3FPCav9Xh3iUFE3MYDWvOVburx1bjH0uwRW3rJskSUhI/INKw3T7XT
V+W47NcnTnW8UgS5Nlw/d/P1/NuITRhRs9TCDBYSf81YQwJk/xzbVfYe13LgQ/SQR+GjrJ1NkBg6
OZpdek6mgjfVIwWG4YAQZ1nGt0wLHZZFVnCLcUkKCPOlueuA1Pt6UsJiRFMoICzn2q2FpbBNsomr
l/CNNcm0Fr6/3rwNFpKAJFnPYLKrXNlHlWsgQ7QBmVDeABHzNDb7RZTjOsOZjPgwPCu3rVDF6ieH
sdkJA3uwqBttuATsuB7SOdPXoDpFtESOOs3YXRgULZ16cPw+KI11l3vJSQdO9oBkCEKYUJGdb/M0
bI/NTLG4aGhnXuzexsA7twiIfAN7kDzUFIgvXdhIFzWqFb7UnHXcYJN9rRy4br7ZUSWu9brICJ8W
rkfLz57iGU2Wd4ICj3XKaTEJ47+YTA6xkVFRg9JHSV1ifJTTg8wcrLlW0UuCI0v7wmEH0yyvteid
F1hbE9xRUEILVCe8MwXk2jE8VqlNxCvfp4HNpnKRoYrox5N9DhgWlwvSDerNHWnNiLFIo4VmbznI
Y7ZV3gL5VaaKtkQ6mwWn5qQLv1NwKRfh76jdGbgZySAhclSru4fxMtgjmLeZyegVwlL/yd55LEmu
ZEn2i1ACTrYO58E52UCCZAIGajAQA/D1feBVIz01MjPSve9NSbH3JF6ku5ndq6pHn+pLcW/Pm30r
KaO5W9ZeX/a8BOnate0X5wWxj9Dv4y4nt7yZUcfuQipfPjps2/0u+2dpcE17KD7VFquzl7kUC0eX
kmFrnOiHMEFwO0eCNxQRN2sncTLa0VtyKSoegwSWbRHwUaUPue2as1G6qBOynglrYP186zpYUIfe
p/04muEhAWRLxUtzqUeuLlXJ8ATdv52CN3eQ8JfmfWL2K+I8CFlsQNTrsrvecRk5yksRc5hZC5fe
Ws/MyumR7wymdKfCIk4YnLcGpz+1auNRDVV9NYWO+8ax5D36DdeByJPoqh7n/mmaSWzymlre9JIG
BpZnMaGuNDnImGx1XXMkUTX9PyuS/5IiSBb3/ysH3nz9ZvPX/40gYv3zL/3XfsT+R8juAci2aZse
HwA0t39KggGdiEzAJvIeOz5r9QL8L0UQBwF/Af3jLjsadF9+kP9ckIBIYEHi+wFmIyf6bymC1kXi
/DeSh2+ZPmeFbXs+lghASv++IRGWEUFLXbr9VA6ZuzUVXVBWp7I7w8jNV6Jj1lvYpuyfFd/Ta8Fp
Yp3DGgwEtMn8qXZtcafaMeVG1rP764kCoaPuyVQnDYg0kMTDkL2mKcjFDUSs8JUFBStUadvbyXBM
zGrlY4td7iXwGo9vwzDegdp6pZRlMgh44ufCyPCcsj78HbzAQZaq8qPtcmT5CxkKlVbDfVWQC9sg
xsJu7cq+ktj+8GL14Da5leaOYaqnpQnQC48p2mnoih0SZvdc+GVztlX7WE9+tTyOUcdF5INseJJm
CMAtF2p8qqymombB1VgrI/pyUBpdOxtPdloSrcJhL38puh84p8j4AiOo6PS4HqY6is7s34OA7kDX
Vg/zXMhfl3FFHDA9FeMrme3ot1mW6XtZiWpHW0VttesDp6B4UBv+XkRgN7mwCru6wz9a6/NCWvNv
nwR9QxdG1X6S+reeG59JwVFJ+GC7NAPoPOet4zgGimYmzUNThv73rIQ7nhxfzgrKh0I3LTPfXDYZ
zFVkN9XsqfZmmkksl66gaDafXfI3H0PpkoptDfUzmV1wC71gDnZd2GJW45YAAEAs4yqg8+7Ama7D
DZdKdeC34oIB8ZBuSiJaEQ2Vcjl6Y6GBzPbptcP6rPgkqeA/Uv5uqA2IEpOtRchT2igxfRF/hLmd
4CrBJpOKWA7gFtE2sy3FPtyEbmHbB/bpFFrKPL0GNfgz4LvY4AYr0i2DLc2JIs2fwo73UUfB4yrl
4gcJE2Ie2F6zmAQyC+f1qdHxevubllX45iqKtWLLJBP/mUkEFUr6xjgYpjWLA3c1HY0jpHOYcFSA
HNCj+mzbV5G48vvqUTo5j9BaZdeeN3sPQeBFH0qV4ialtcffQYTNDm0fhD+qsulCLEyjfB8V1kRe
+N7Ub3ww32kcuHYlNgN3VxGXeQmAGDZfLs9ojcYhCBeK9eYy7a7pJcdqUtePYa7NnWgstz24OVq+
dCLI6+74odygjk1Jr0kc6dADcj2y1tyvZcfO0UywVOOVGzJSeU2GtDdlZHvoqEKonSxD65MZcBtt
9LA4LPErU8BUsUOkNRmN2XsHfhVclZX2bJOcYJyukdONCKK8bnXMgEAQAE+9DfTf0NYdHAArYFpW
/gebBGUASuDySg5JNbhvhBJb4xatJFMkKaBN76e1SXXrAqye48LXjrfHyzmbIMP4g4a9UbOrIimZ
1tOt24JVBflNrQ0Amhynuoj4fz1moWYimwO2UG89ny4ao5HNpn0CU5BKL01fSFzPEZsOuWg6NzJw
B2ZeeqfQg1ryVHQNvnsewVH+R9PlfT2CZeOL7UnsmGhP5aviB7VjFj3Fn1L3kdo5SaIkqTLmqG3q
BWXHB2lBJu9CQ5VxPVjJiF2//KuivMVw6eh0l+Sy6E58MvFKytU2aUXKxTKIlbJeTZW+MSGAQI6L
xHlwPfXtRKWCcJHh/KelZRopjI0Eh8Rkv4D8tV5YxS4mbUmWuy9Xd6dnyjYFKUiSFNESxPNiRZ69
TbwKLygV3fhCOSB5zYMebJuYf8RqyyYSF2mRObB4y6lgi5LXSn/gYwxvRpo03xpSrxTneXq+HVZj
KiVBsBzpHpl2nEP0wU+w648+LoKbMWqje160JUuS1eqaG/704E3DHLusyR6rseaZqHsvB8i5umQT
OtjYqpQTtIF2Flc9ltPYM1T7bNW281ZRnLjHJ8FKfPXcDpSHY2y9+HGn1Zo7pWMZOwZMJbQ5gyxo
Gi7DwZyH6Fo2vYGVomM/XTTIyJlbyztEwuGLRr3pU2jLpSJ8LSQYxnxvqjF55LYU4aGFi/9Mgnn6
Jsrl/lJaoJ+1qvB/e/VTxLE0bXSLarvLxuYpZ9nFwmrJ5LltsRUcKCVMj8STHDLtI3i5umZE9Nwe
XLyXRyLbh+VIJrgr/Y+U7oaWVzTO6WL1UEdjM2xqAdTJTKLVXoDNOggqcL4Nex59NO3B2cEKClm2
lc2xqsYGtzyNu97FxN02vZXvZ6CPHK4pbTWMdNdDkjtZbNepJa/nyuHZ2WEvfWlLXaKUTtVaYjtK
9yRdcpiomDxkm4v7fF6N6JgPXGK/s4O5ooju6otjnZrlH65mdb2sdnaGUGYMvZrc2bOnVxXrDipC
YCM8eqsfHtoz/7l3x+iOn6X/rHRkkjvu6I4adLM82kGbncTFap9guu+C/A9mqpJ1B7RenVSiv+VP
r/4wF4SByeuNQ45t79DYbg6nV/5SHLvcZ2sOgJfLxBqzrugKJCmA+WbFYeM8QacZAKWwLuH7Fqwk
mTWFYJJZROkdovnBwtIvn+quNM42EYRPsGMYvlN3gIxFPr4Kt1o1Iz3kPkZAvx3dzy6U48NECt05
gcAs3hudpundDLyZL2Pu1t/NGrxIEAvqDUZEZZy7Sz5jZjWY78d0DJ4id0Z9drw1YxdSuox3uuFf
58wzcPenKYeZaQTBSIWVAP8FJRPsQtJ7D25uN7GnO05m/nCtVzYAGFlwCyyE5hhPUfxTCiKlN4nD
vOj+75qzajeg27jB1hQLdQPjqUT0udZrxsVb0y5F04zLpgvmNgN5PeYvYB3qQ7bmZMSamCGQ6Z8j
FfA3spQoKacrywxpp+OyoTQLw1FQjPyEY8b/COSkj44qrzo6Emdn+WovUZ52cuYvseZ7+m7CU9R1
Y53yjXVZ9trTnBX3FnyYK/7gWaXY/OV13FaSVBEhlZr0Wbg88jDN8IuzemWfG6bUBw/lglVyjSnZ
Ud58Rqwz+b45td5T7SSsTVIghPTsdj/qpidwJFjMfNHA7F25SZJ8OcPQ7cZEERcIcYxfYfAg4SIt
SswCfqQdvppljhFjmrc+TNufxWxaMvtN4N2KjPAujpjGf8yaeVorTevnJhr42ZRqKEgLxQiDW2KI
J5yWOjvEJByxa9JLqSBajjx2iNKbZpK+JKTDOHcwi7qdHeFZqSICJQqbRwEYP6+r2Jnm9jMUOVdN
COPvTlWtR7xgmIavvm+8XXDJrFVtUdw5wlYuS09M+Pg4XFZZ1hpz65U1uHFHE9dLuvTRM4jAAq8U
f7Nb7HjmEcEQMWoKJvfdjLwxeyqmIbpvXcqEMVgRwOt5W/aXrlyqYLmZUYdm75yVDVsAUfVgmhqH
aoMiyChHTPmdHU0RjQevJyq08SwVPAigyQDAQfo/+dw6MLbT4TUji/9EXC6815fUYbYGEEu798Y9
pE2v40lyiS+yXEYCGlP/afQjcZePC1t92C7znee0xQ+WMOexlRzUR/+SjRSG5+9YzRi/nHj5nvvZ
39tzmP9hLyTX2ID3El1ilew0/UdzzVoiPtDMGmWUGOGyY8esZ+pxM78JPopgXO4rUxnfTVjlT+a8
JjjtDiIMU3rwFy+2kNd0YjQJcqFX/Tru1L8uepqP5YK5OaAWT2xxFJl5bF5io36m5nkrak6hY9tW
/pEFItGzdC7HXdnJ7mD2Xn9VZahWsOhMOp89jCrWPKgBZm5Zns2ignvloke+LWu+tblEXYM5aANi
PoKiB6uRQCwAehOhFWpHtBWFNe3IklfDO0kjtIY1WotsOvCD2O1nsgZvuZrkecqc8CSU5ORxUzgc
GmeeN9vkmcQa4DU5vDaOkb3aa7jXVch1fArHjU3ytyEB3PmOOk2s9Hdt2Jd718imA74XQEgUuP9J
1uAwNfacf3NkkK6amA6NnpIlTHgHzRPB3drT6N+mUdPcIyZlpxaFcm+RCT5anS6u2jQYfvSaXA6M
OQkJavA0IvbbPLvcfXs/1N2RZWb6yXOmi5soexQYYdhb8oPOS4DuTUSNNWqTXEmP/hAZKXab6dBd
U6TKTU2OfKuF/mF66CEL4kTccBMXOzg3/W8Ba0jvcl2GJ1JL4Wfe0kO4BT/Qk9FSiNHGrK4UFbA8
Fgl7R10xfi1h+7tcouClm6zXKdOYxHh6QpYkmWLYy4ERKN0TI2aqFWu6nF1QvcsCz4nbGsVNrdlz
NCz/oa9MkEstW8krn0zuNTlqeUI+bvNt6Cnzzls8akUMcD9OkzzzsX/w3fRqnAaUPe1S8VuE+GbL
hZrXApAtEb8Nf5xUnxYp8kW75BmECoC+cU6A65U+YUqIUz+KmT79gQu2ffHNfvoS8BTu4f2zPTb9
Pr+ZSQgefZslbZNgDTmAYCLDb65xfpC91GZ16q6gYw8YVn8c1vQ/Nc4YhExkok9eneQSAcC/d3Mz
fsulu6lWkEBXwpFgbc6eC4BI+k1jr/md8tyIwwHD37wCCXjoQRxGarmlkGV4ArvBPRfiDmM1Oexb
VuNkt5Xhnaqlsm8bP9DPFB+M2xlFlmUi5K8PCg7hxFn2CGBrwD08O913WNMWX0bBdOVFiX5KUq9k
zunNvQYjdVS4WPZ0VflvYd2SSK5lmo7bUY2LiU0rvC/5NLY7OCzUOTSDVQFdar0REXGowXbZQc8V
brVE0ZnamIYNR372FY+nbWYM49+gTPrgOUinkLYou66ZTHpY/D23ya+yDe2QW6+mY76I+hMaGOuJ
wbGxcwRGLtP7KpfmayLGhud3Ud1TaWh/2kAnwR+U1i/71Ybe29USuJH8OZwGpps98hKDBGti8Uq2
Qnu0nEtbPEnZ1fVxSgFZyNTv5S4s2wVGi/ROARug0zR0NvPC5NT3lAbb/nFdkHylnmHtaKgKkF3H
CVqD4/bcYaBrjSerI7Pc6xFJbBqARJdB/2XDgKdGyKqOtic+VQ7Zz8FIUO+AlBdbU7NnYa4r6aRP
Gu8ZokZ/7OrFsW9SFtEd1YsKZpHdUb1GlKNyjL1DVIROpbVq9xVZ1jYPklvTIXFSrk/G9Bpdey+0
yvlF9NGwbBC2FuAEY2T+leY03FJZlbyZUxUEm2x2Eupt+yB/F7VQZzY4dbMPifBChZRTeTaC3Kme
9WqaqHtr9K8r1PHuCiodqhSlBNUOKUaDj8OR1DvBR1S1VbRrGd8ODsu5gBNJmNgPwXzfMHSqT4Ts
pdlrTdqvSDsNusIxnmWYhNd4YbuYJyTOBqj/n3zlhLrlyPeJhGM4vLMSx/0p8yF8YzNDBzH3ES9p
6R3qAueoh9v+x1UpOo6IUud6agdrb0VZ+ZtDy0lwweYCcxR2Ywi0C67LTYEe5PHiY2FAmMamosqH
B2BtUSD1TV5gWGUsHFL2ESX2dWirRNq3nOtEVCTpZS92ujUmWWaDR7YeXwDPYSIyOGPMqscWyCSW
76tgDsvDGIzmVhVeD2tDyeHdoSeCpzJSL3cOCukzIKvVE8jG8q5mfOG/rahqibOKD+aGe7rwzy0d
nl/s4bEeDkRV44LCXF44XFFzQIHuxs2q6awj6X8XpSXf/MoK3xe/xpiaqsy4b8LSmWnGpSg51k43
78MZoZTU06BOvMRpYlhkUcbJPHSMd2BIcdjnvYRkkIXppwtN6lD7g494WYeQeUldG/s+GEhTitD7
8dl/4PS0y+IKMOxKF+HN8553RgdJxR9aAIm+c195pnMsq9XMmvdO+VgbZXvUCTTOGG23HTH2p4i/
lvLra5q0sG12bcWXpHIKV+5GhIr2kNgV/MyN7pNKnnK6tShUqSxCCni0IZOjan+MPgMW/yRh9zrM
AXEGf5jQe3SwFsTbRQ/hPMA8RfKeQvCvocysZ+R2kLluD5kgacC1XOEtIUmbemP+ZUPOYm8hCELt
59RCJK5Gt1fnKBiWt7weGLr4eKKGFZjAPWvjmhNoO+zjh6oGHcZCBCRzHTr1gW1t+Vu3lX0Dvodc
blkMDoz1Di/YnRjS/hVfVf7WahOu3DAn1E7pJaRavDACTD74hrGMaj4q536Gsr7pVdhiuBrT6Jna
HKb5yeb4gVmWfyfwaNmDYKOxrzknaK+gfUHyAcVlZZ3AVwCYTomlOle6GodlK/Ip+FHeoF7AbVCb
VIiKD3Vhs9LDmhDMcZrB2dswCxjFrhgUXlmqgZ30awpEgLNNsSsV5JBv4eDjJAk4Pzmw8xTeX8X5
v4BLohQX6GO/BHFZ0/cDWgYky3YUo7zNEbI1S9pi+vCTHPBl0A4ffJOUfa1MczikMu2Ga2niQea9
HBBOM5xuZTuIPNtP9grrTRKSJTHXEufKVE9l9QKz3gUF0izghwnI+TGwZc/FcR/pg+sXEuBeRy/5
iFHlGl0T1yFTpJHGUk0tLL+yKfOdnYnlwW6TQh6oTKnp5S6ibtvSfTbsRuTeGw1EQseqB/7RmjkG
Ql1UrL8KM+rdDacq3PywmvZGozGkz5qsf2y03DJxSa1lCU7cZJnUBT7nwAIk87ZbesgnJTcbI5hP
3CjJcyTwkIyQfwDDBRnV1CnLornhB07XDM1Nh5042ZeV9XcsjPBRwZVi80hqceMaDREC0CQ4GL2s
lDTqlGQXdh3HZgo4sTUeUkaN8NUWC0BTyuYYYPKeVKC2RmPPWO+Kv65bz58lDzICQrSZPLLFxULK
w7VFWA3EY1GG8xGdPRv3OKCCV0nz8dUCnPI1rzJe0nUo8/uyLd+l4SS7RgAQPuVcIjuwmFSFt/2Y
bIcpqb8QdIzfRsj5OS/JYmBVW5mMAcfufEX/UkcUMiyrW2bIKaR8ad1lF2P0w2NOfZt5WL0s5qSw
LEhqWxjWMnpLEZviHjWxJf5NL5rj+3RXZ6X7xzJavWdr4ewnFgpXrHTcOHe84b4zZ3utc28cC+a0
Xo4OH9zHvtXyMUFmBlZaWGKb2an9tLLkEHjoI34uqGCdiDIOcr+wX0n3iw5A8VRGxybKkh0W9sSF
QIM/nguVr9HosLcUmc5vWTYUEMEWa1yuJaZ5/wij1EGeyWh6wHRhW1DXsid8qbgvJmv+wm+3cwxs
q9KkuyVsl1L/IMi0TAIthLkWvhZ3W575TwWjyWYkkSA3Atzms7Kt8Jm3aEr1bZRhUzCRomhvKdr2
zQ/M5i+eK96ijmIPEIedWf2xO4yvcejk5bb2J5b97SDaGO8I+QJS9iUvSuVXh//RZ/8r+iw8Bhut
8v9tX7/5wr/+1eFK+bfI5r/+un+Js+Y/gO5FpulH2M3/TZy1/+F75DhNyyP0uGa1/1Odtf9h4p2n
oN0hrx1cUpb/Umct7x/wsj3UWce2yXGH/y37OlWMa4/C/96z4Luh6waUxDihb1L18H+oszZDzdTb
BvRlgIbj0Ucj2QIZ8HsOQFiP64s17qsgcsD6rcvkEAoMBneur6vICAyxC4OczzfAnua9msm93I4U
vfP/qDv7x2kRh7dicVhwufhlVJBMEDzpoWMFSV2XfPCUEG+G64mUNYermweImCA4RQ4XPW7cWjOM
1n5iw0bRtKXlGQEVyvp8oOn+2CU4VyubKGUECFlveDwTRcFRm94Da7T+YvZxSVEidtMlO0SnFvnk
0S5gqMF6XUbUiIz8B99Gqy2oH5D62qQMaNx4pYmVDl3ijLjjhVvl4Qm/TSoeDhyfYCQewWu8c1LP
1oF9ERdMG9iCVqSErdEkMoHvc6Jj55rMNiMDaW6KAEHPgOtgewlkFhZ49uyGRuXvFb2v5na2FU8k
PeYCKhOKPgoDqovfds61YTozB1gXjmROQ6jjZzVJ5kY/xYyzWSV3uSFcxiQ/5aH7YPdWQZO7SajJ
8DwUxBxYpAYNcsdSqrm2VJg9TFYqPzrL+PFUv1pgYeYMW57fHjBTdsnMkD6cP7cUb/zd/H06puo+
YVXcnLxS0t20gG4M9yDk3EcKZJf0ZhVnk9inP5iQETIIW8h5Maa9bnxeJnBHmDbcHmnunAaW9GNT
49U5UoWVv6lw0cNhkGky3iRqmiOqcuB4YAS2vXsKJS0dC6ga9XVosl7akAuDjALR1Tp6feQSdZ8x
BJxMVGV5VUwVCH0C0MO4g8hfH+0p7Put5TR2s0sXm3+PNoJnpiMPkezngoToyZybbsbCTDULGxDp
2xs3ldNzl2VGiR7ruN+SauMXyB9mTNu1+m26xJrOfOrgR5tVMkOwVT33umc1NCAqczil4LKBEOBq
xs9mhGPFgMtKG2S18y0ja5iOANvZ+mcsyGhXozkJbBxAsbOje2L3QqriukcCfFAiWEu3/ZeuQ++P
e+p1T+lgZedQ64AVk1VJVgK59YintvtciPLh4iyw1OId5NFjhPZTokZaEpqSmf5ZqBTZ2TIL7pPB
lPOTqJ3lt8qq5QZ7n6JxE1iIdaeAJYN0bQpb7yjZlONxMdPqBjgpLYvUrCAkmflYfbAKae+iPDDb
rcJADqvNjGi3MDzHfW7nTLob066Ia4ZG6PQ4fmvvmtE88wDVrOFu6FupdTU4nAmbLq3cGyVZGm/Z
3M1ooXklPvuosaddMCOr+BYwaZqFGWO2DeaLjRuayauxlMkBMl4RVxNYzlIaw6ZUlIHCFpvekJLB
+3JlAtRtVfWBtM33RuJEvEsbj0yFWzVXtVmOz13qA+ErZ/YnoowmLMuuc68iD9yDGzn5cRibalcL
i6aw3Bzt6sg45r5YVdFddbNOP73CzqLd0vdl8oCDLNCbwMnGBBozzxq2fNn3JA12+WzwYOUBwB74
eJQtQWPTOU1LAKHBLWu4mhl6NB7xwC9/aYJUZweTHkWsU7i8DvTn/kAgHaP9WDoTXYrcOBKAUICu
X2qmJeAbt1nbwDKiUAjKUNqU+klqkTDOefPkbjMqFLtYsROwzr6dyPNImcZwmGaH/HW3mDLfFpQX
kWfmmWvGntl2byM8zTtSdg0sJGF8WmkS1C8hk6S51RNflE1UROQhjMbztgHXYPhT0T9M0d7iHDyl
+Xhmb4swzO9+KNcoYkMfpCjUPhoyHqxd6CNrVJWzbRgezNhNRUv+vPP4jtJwxLGP/fHcznOE3AEz
ECSHS9fP6LYJUXjDfE5nhqINm8CAdRrAQL2jGD5/MAfY0xgdwAFsQlrYjCt3sfMvH6PleEyFORQ3
rpMscZhy5MS55VQ7NlCQ40D+D/eUOqbPVsgxtx3TySI64AiKIy0PgWITeTVrZJ1G+iWa4WJyXlkC
nwe/ebFbpOs/lFNr2EwUNW3lguCAhCMHCXJje5l8FK1NGoizgTaUTAp/9TDwgjit4HwUxUr4u5rT
jPhIIKarohfmkQ/zQta1ttITaCUp4pH3AXW9hlDAQ1svOtZlLn59uLtvNbPggzH2gob7Viw/vDlL
tUFCAh47satpQGyLvorHIV9OlCcUBdkcnvcbIQj44BxYqEYMw/WXQOk9w01BmJd2GDLqs3KcL963
XHRhXcvnlUB705hSY/ApJjwTbsHRGtEmGG1Ye1W3E1ZcAiHZ+KrnJqINO42cvWkYyyNI3ZAoJ8HN
8aaIlvmZTWaotjovuI7SQrXyCPQh/BNodz6yirVuE03bBPYd3ZQbui51u6l1ujTbcISRZeEvSe5g
gqOAuEMuIwokfKzChqb4wXBU9EFxgPeQ28ZVe/HRBDhqsNuKK+visklWw43DIbdNLiYcGFHw1Kbv
fDXoAHT0cYWsrh3MRzh4UnsJ3yhjc/52Eodvtlp9iovrp2nH4mROOPs5Y/Bqrh6h2c2HuNRAB7ez
qiBz0oH3CHQhOFttYNqHcXUcVav3iHwetFMrxZDUrt6kldKO9NhmNiZh+p+nIFnORks5EmUDeJvc
i80pWx1P/up98ptsOU6VOZAQRPzfZACzrLhcHVN5CuRxg0OQuqQs1VfGxVxl+rrf1RfLlQWB8XZc
fVjj6shytZ99ZN38bFzsWvbFuhWsLi6x+rmqi7XLD9apVXEWQV9zFns8ESj0v9GOsSZYdWkb5xGr
mLV6xuzVPUavd0WkV1jPpc8K2qP3vrl18nb8i1ES81karEY0v88wpWUXg5pnL0WMjiarHdY6LGyN
W0zfqY2vDaCwGF+bRNcrJdFqflvPMdUDpmoMcXD/g+gMgx6jnIgsfo1pGrHYdVcvncPWGMP4xWKX
XOx2Bs85jLQXG14NbPupvZjzRGFUT/pi2Wsu9j0HI9/YSWDoHvtopNlIzw9zQK127CzZjdVP4oi9
ADtgNqn+wJoPj+DFLhi4IAPidXOBlIXx+F4sKjtVYRqe69wQdJZr2ASuC/256jUFfjRpEwKU5Q5D
YMpdzhvkV60uRq8mHD1g7N4G2B95ReN4NAy6v9APUQxOIRil+mu+GCQ5aKNn4izu70BsRW5SQtx3
A2nF12EqsapdrJYOLfXkIpugjMs2td5ISFqvPm+12673UjoXxpQ162Wu9C4zprmOm7DFZRs7hXR/
uCDLLVcWk6kRGs5bn3RfNvumLAbqy/ya2oX8i3OpfbMu8y1L4DVsnww8OAwx169tOqTP+jIX0/dE
hy7vxSf9z8GZsIz9jpJEs81lsu5dqAqQ8DmNmbsn3uRf1kSZ2sBMnq/DuWE7nPzQ+5jZEZKZ383L
LF9c5vqqrIf8Vlzm/egy+xuXPYB92QmwEagCzrx1V2Be9gZiXSF0QetMdCmxWOguOwaxrhuommTz
AJOFJQTOy0c1d+kjn/3lSASegqECNyjAgWUY7skNunHUOfLKLDtnb6/LDjDRf9zL/kNiceLdGObe
qcu7OXurqJpAIbMppwNLvfamLY5p3UinHe5dPbENyeUGa59gr59NZ5M+7Z1D7jAeu/GzGLQAhtst
RcJmJVDRxsmoOm6nqH/URrIcUkS0d8lSgnqzCUgwsciiOQojMgjAVq4QO9PPsIi60MI/st4fjDMb
e8q9B6cKXjRACXMLLNXC2q7G5scsQ4A2CRftbequw1kTdEXD7R1NT5Qi0PzWsIjkj9BbPshH6U+b
n8IHuJtRYRDy+5Zbl8jMwXUUvETCdOj7VuHeicwxn3ngcsJStsBjHWzqmerR6U+VtPPen4PyRCXL
Io5j1Lg3DA1hcka5tb/zRjrb0mKc2fLIYL+ZwRRTMFpwYrGRJcpg165rxwIMQFW2ghgrf2I98Hqn
yHd8mS2IqwDjv/n6+tddUUIYBq/N7T66NUxDVFO5HTMq7UxynGBoverONnkM0TZtCutM51ri75mI
TQokhJEzVTHeUN3uieUQ4S399HousHjpB+ZX1rAuRJGBAgIGpcifXyCUWO6RrBmShOjq7HdslXca
s8H6oHlrRf156lhIjvnFdhS4ytnnrIFbtiMGxHLeC2EjQaulyA/rH4YoHKHdp2u0yV0aYBPzLZVh
MAzxdqWzXINWeek/LKpvunPbgNnfdlHiJ+j1NcUt1cRiHLB9zoMS+x1NpoD+70IZQgBKexH9isgJ
n1j/vmSrm3jDopPUNXB2PrpLsIdZhk+tMMPzjPiL74WUlmQnfR+MbJslyqZC6/dKotHkGh9Voi0W
XkOwuhVE95P37Ln3EKx6dQz6ejUQZv2v7JfxbkK6s/hnMxH+vCZFl7FxcX65vTa3JX8Of93CxXGN
44OXvfCv3SHzH1AsSa5kib7BgnSVBpHXb0qvAdvdVmTbXf+nQzu4L/wUaopd6yudMSXZrXnockgf
evSdN1zhv3zcJn7HLLehmvyWo6hOXUIRUilCft85L+TJ8m9d6lrPldfxA42NvA+5hveiV+knb4oK
0UXM/pNbfJm25+3wKqyCU02b/IwWT6zEOxW1CdVW9uZBhaOKOTi3FII7B4tq+1+0ZOuYmMo9ObI4
LnVIrtUfCpqACArvczJKT4o4Jxan0PzG+VlfEVzVX4OiYI1636raR/1sTseyaGj84JDUP8vgI6bV
hdXGdHSE575oeXS1bB3LeCR5++UV0Mx3VFJ61/NAiUYz8aYvfCc45LnURyzVjPujLO516My3xFc9
tfF0OV/raeRVGOp++TPnHXaIghckdo8qfJ4937+ebQoz/a52mYnLECNTYcLLdvM/pTGpg+oRr7lM
3tuoG9gDN95w0/kcor2fN3ksHc9LDlUTpcfemg9tSQdT3Wc0bTiS5Ufhy/6F527LgmLuZDxdZo5J
ptuWWPrf0Mmik0cW+FHP+fJh4QN/rJt5mDYs6jvy0qv9BGKNFQuP45LNzcFrypO2U3nIaCi6ozbI
4h9oAj9re03NY4e2xL0DmyYmWeVh7mU+HQK3fdfKxMwOdWxjeoH3WEZufyTbMz1QIsLiiGw6SVQc
fm3pmO+olvR+DUrdghS2dmz97T0+O9ZnnSZJhAOeF413n7Wr8ygQ4owes2nJ/gE7CW5Dnnkx9mX3
avZsa0/iayG06hAyxuzEjDwKPGSpsRu5jGk9NEUc0LtyzUGV7/jKhG/INxJFQ7VtTH4P9dlKn+eS
fqmDMMfp2fenbq+7Bu2wjQbvDsd16GPE8ucbXZIB5sQl9+3U5X7uqWNcllTaV5OVy55mSgpLk6z7
MLBtPXt+2+Osb5fuZRmj/2DvTHYjR9It/SoXvW4maCTNSC56406fXa4pNMWGkBQKzvPMp++PnoGq
yAKqumpxFw1cIIHKRCnC5ZMN/znnO5z2gsQkWBjrOzwwOu/qTCZM8f7XedBChUnj4IhnIKWULBy8
XkpZ7qw5sT/GPH1XGk9kLIA6q3bOvjBL+TvWh+KhmgdUpsjXLqmJvcDy8W3HbKyYJUBHAacsdnJc
eldScJNFal9KSqeoPuE60JKC4noDeEJGJz2p84Ot186X3pp3gGOJ2uP940DmT3fKmhQU83ZaC+yd
q2VwElPduQvHuD2ApmI2NRWzelZGJt9kwry/CdlJqNY42VVLspT7xgZ6Xh5d/FFOH3OUmk8EpfWf
Q93RuTG78g6b6C5Wcm4vpTYlw03YlyFnao203Jx+VlIYzQYxbtxz9J6Ix8Z0jDXS2Fd9X21qhPDp
Xk8g0ndTDv6nFT4F303ISQofj3GgYgXVLonhcEDzGrp73czwQ8tcsOn9T+zr69+RFYSyXFrf/7ms
cPqq39O/KAq//sifisKChXWF47oCPMY1xPVb3AvFABSNEtIwLeJIf1MUhPGHrWMHdy36IG20CHrp
fykKzh+GJXUKFIRBIMw2lPpPgDiGWrivvwsKQHfQNSRZNCCQpglf5y8ESLcDAZAkIiGy0G7w0DCX
x7aKrMptrzvnMXZpX++MkzLnYo+Bpj1wucDp4GRueRMmWvtiDRZu6ZxmhFdV1hg7dD0vDqkvmHe7
TuLYK2jW+RYzgHOrc0J1DjgMBhY0WRWf1iy7U5Pbbn3sdMW5ryuiroe+4ANOtuZQ0UzPwAXpPSrj
0YuRYXAw0s2XlxI/M6wtBSHcjGtq11KT3PUEVJ3+Gi2xn0AoxMmGLwPYh1n3T3NT1d0R0IF6YYEx
SH8aDoNjbbgt5pbvZT83ILJyPTj2wsHOFiUMvFZO2rlHyuXmS8OMekRd1imY4Gxp9UTF/FDfDDW1
pEc1hcajng+d3CaJG6VexbiJprNAcCIbCALmTMfC0b8NbRwRFALOJPELitZSbBpDOtwStrUbINUW
1gMD7kS6LovEstFMBQ7GDhVGX0dxVv6saIg9Gx3EuA0lKPW5mGJd7gsCrtZasbmGK2uIp8dhNsCD
A+MjWcDAO23XedTGrje4Gkq7YtP+TLRixh8ourRYLG88gBUo51WPmvg2gY6Jlcq2vulO3O8n359o
hJvcO2Poya9zS6jHTdPoxZNhmqjpoGhGf8fIPTniAdADbiT1+KyXiX2fgFn51EfHjDYcWXBGZN3I
S8N1mgkDDWbphuS48YI62r04gbSok0ytxoE4w3iEoLGNAQaj/yMenYrGZqfCBF62BJMOOGmh6voY
fL3Q4RE82eok27vONJlaWcVeBlV034Cxw6ogYvWJpZaSGoY0E+2TrjEsvsDwhOMpBacv1JdFThjz
/CxrqD49JuA9zZLugdtVPHmV5BLicZsX/JxQ3yu7WwwoTIXpVZndbMScbZUWNw1jlvuJnYb1Gmo7
uDwFXMbr+s5+q/IgZCRkAnBvnHlMPLKLhVxVTsnxFKZl91NRWoPLlZZiqtFA0IFkLxOUNcOpKMIG
5EUmxcz9+6xHUTeoExu2ybgkFgZo82IF2Wc5Chhtfa64pvzoIi4tByfTiD36eFQ8lcYFU6zBConY
8Y3OHl034qJidw5HvT7NjGtrEayaksx5SuRtw5wSmy9XfZdLsVFxu7TB3VBFGe/1Ro+fc2PQd5x5
5o1Nc8w5cJv0NIW4UqvRoP03SgYb3JWLB+6ejEDxXA+m5/YksoXsh27tmm0Zg5HI8scgjDdt2kw9
MGXRzIes5pOCI1fe6J2DUtc6OGx5ADNEr6BTrPzAaTafjV707jop+ZwcNcNPpmegmrR2M4vu9WBl
0ueVbJE60xoQTE/ahmN/En34WhU+DF2+uL4GIC9MoMicUOOSz7cRRjDOBnxluq1L1ov7hBOM+Ndd
2tacg3LpQr4FyDIBMCIb+9wSngISYrZAXrvRmuA2y9DobO6GDJ0cfIShozEuBZwFjLF6L8bylDdO
vLmC7ifiE+DAzXUpseLbUvJsV/9blmQvu7KrNhhjyrvG6NudKMtk+z+egX9nczc4KrO1/vPN/a7L
4/eP3wnPv/7Ir81d/YGsYZm8MRTxqqsp4FeW2wTsztCKLd/CEaAvZ4hfYW7T+AMjgU2I22Hjhbv8
t73dcP+QlsFBQZrSVkrp/xny/cp0/31v121aoQzTgDIt+ceCI/073XlJCinM+/mu6/pmX4OnASUC
wyVwTAoQUq05DZU+0W9sIaz1jPJklgeHenTiE1uuWHdSghnPJ/nDrYFmVJatbYm1szYN8XjSkjyE
1AOLouZCx/iW1FEwzu+qs/AVQ/DsmNKqMTtp4BTYdTgI2AV22dqNYJ409bqfo2ejsH7g7VkvAJ1j
0pTVzshSgYtGJ59ZlZ29RkKMNhHsuKdURpCiAR2lRxNCEMyKab7NhZ19UniJ2usogs2RQVlIag23
fHO0rWFpjGNLTO7Pht7LdU13w9piTUYC9ZPvQHtY92ce1Ue2wLEXLR5gnbYOyGjBi5U1w0HLC9Oz
lUD5zbP7khIRMkJhe4xpKjsMtTPedprj7AoimJiIm0KMhArH7i7E9LWnfjk/FcHQPdA2L9kfchrb
wzY2niZCPKhZTN1iM7g0oQUJwqcOWsvsOyCD/VPr6sFXlUb1a6QG6x6cCSwX3XEZT1bmeoS0u8mU
Hz32cWYcqGB/jpnR3IXIW48mg4AFttqd2syPzn3o5M+DP+rcBUFkjNRZeXw01lwW43dWvegShkBG
yWULwTCIeeoj2LcMHnf45VtEKLgKUUrdqeqV4lQ4uNZUfqrZ/0lNojN7tju+hEa5T0J57Oim3lDH
K+6BlWL9dWKIL/bgvlpqLM9iKq2Tyajj0HVz+sOi/gVLJSzYxfkrKU02tQsCttMQInHlJythhTk7
YFgzgjBOQhwemU6v+EACbW9TcAqaxRHoYppxU032l1+fhPFqxjzycoJ+bDCiHVPZNN7s57ZcGXFX
buZgCiiXYkY6r3gTsjtcgQmEp7nZudo8PRmAX3ARcxSFOcsQvJmnSwq5ygv0XmfyAdAsYAqwJug8
eJ3gDQK7ZbgLwxVGP7GtZq+HPqbWHDJyqqmfHaGASwvVBVBrRYFxW9EIg1J+aDmoXyiXfiJpT50i
/uZtFNnOtplq+5ubaP22TDNuyaEG3JiOFcJrSmPQx5FyE9cQZiq4Vds5B3I4Th1K/oS0r7pC31jz
QopGIrzJVDHtjaqzd2msA7+ZUYcZ0WQmgDQS5FSgOr7lydhZy1atlvjTbg5o0s6qVU2t8QR/ZT0Y
xYcMp53AYkIPOd7vstOT+3JU0RbcXL1LaEywmAJvmVWqneFH+Wmh178lwGBo+tPz/l5E1fCg8vLN
UtlHPgcbOTdnTpefcZ/TM+onzr7Uamtb07DI4rP8jVnt0G8pBs7BDHsa68ER0bTK0rr1qFCcHgOX
c7g54Jb2I6TbMSJZJYtLHc0AuluDxqNOaQ+FKruXsBiwsXKGZ/Cq9Ft7IaQUUy5O0EDbIzM6a9O1
pf3VwqkEn63Mm7oz+TLpttj4xKofTdvgVR0ZQ1uTO64brucYlwoKa+Y03zgCpA5z73J8CTLfOZhU
+cBCpPqKcWdxHPFdLWbLZtcX8XRICsm5TTSNAoAVzDu/8+c7J5jlNrABcMF4w/bvT6MX1LzbU0Ja
XxJxhvgWtrvErRg6+HaxKimj3RkdNrYVF7uPMhbL7ScpJrwozOozcjjkwAr/BXfuvMbHSODLHfqj
Xo35EZe8s8dEk39gqm0Zmxr62nET/YEvOTehKCQHxYFIMZ4xBvMJypUNiAHDxSbJxw4wEWdH2m5Y
+DZh5JjbuI+X9lAV/Bjd7MkcqmpTTtFO4wSFTbvZp1Zhe2wY8rXPtfuuGWil45lTFU2Tbr6u+0li
4XVU/ArAY2bO78REjKgVKYrY8fw6dXFjLHNXsw5hTLkd3/92kusGMX/X5lK/a+x0k+hdugoD4Pj0
XtHea5/p/6T90AyJlJvWKZ4LZG/XecznnugObSMWwxKrfSQAQ7dTN/xIHDPZDwWoVx+DU5hHMEGV
5VFSNG7nZagbNRQIt1Rg7kwIkDtTsoJLZOn1iA8fK/3cf2HCvw97G54YgMEVME6wa0k5vZYxy8Yq
8LNY7ntKTNcNQZI1vFDa/fyadAr8b66p1BdTAvKgK6KB/O3r1OmBFQVvbcKqn0bfTNO+GFmwKegd
W3MTzjZNq+mY4HwNHbMJz7Wmx0fsQNbBjvEr+DzzF5m55ltjxoMX0TV1YJfY561fPgapVu+migqu
tej7IWDYnpevWFyCU6Wm9tbOpvJUAHD7ylwLryuYAbZBqPxpkuXbhkoJz54b96FR5Gmxbm+U3r12
1Gb6cXbqhni+iCy4KWoAZzSw52ikeYv9r4oKTCgxiyr3FkRyEm+D2ZwJsuIMwiBihC1BgNgEVhLv
GIuTCqpiFFGM3SBs5/ZQYyIcR6c8GxYjY37qi+yQK7eIY7yKKcGjR1DbFXUOX6S6h590MvqIaqTb
Bl8aJ4n3P9/1Q9QqRvRD+z6zDX3FuBoYx+speaWQaeOkmHN6NsbBb4QAsCnrLjxufPaZsR7SqLrn
atF6UynrG42pHHfPJRFDiFd/ZumJvar0x11T5c1qMCbqaAyA6BDvYKCSLlpPIlSP9GuP6MrTnHFz
ZsrqmWHzrcQvBSXRuXU0Cb6RqMjzFOE3LAuOKIFefqXlOH4rKeCgWthW285K2b1NM3PvHat4Hu3+
DtA2Dqg8vLRRTYkGFubW7F5FWz/Vc4amnSfmvZBusc3dfNqy7bk3uZ8xWJwox32NwQ6uCo4VgUw+
49DaEZoF+gaCIbL3QwuXbUDPD7zZyoKMbxZuqwDhL23iTRHDUxR6tWfof4fj5yHRw082tOeh7n80
0totAbILgTgIm8Jy14o8GpLYLNh3OYX5IU5AZXuxmqcbyHywDrm8e+ZkVRdfhtsUcimV8aPdePT7
dhfUuHlllxUylNbEpRcTkfnG8uucpxmq4qrtNWvDER5eieDUaYUXvUiiE8Z/zYv6wdwzyNbvOcVN
j0WczlurH+SdcPA9ZDHtIhxgs9HqTh1v9LpKuxtF++dRC7F+NVKintFS5y039KMPWRPnohj3ptbr
a2L97/GkSpK7aXoenIktGoIwNJ+C6UMDUbGYQ3luBl/ccfyujo7dG/sSVsCx8uNTpo3VW0eoZKEj
OZ7RI6+ukknDqNa2ZBQYFty6vsDOGhfvTgqFUwI23AzsPvhO1KFCq1pahV4rVb9jQpPUnJComLIK
vjq5U18X2ouMMuc1zwZtE+HQe8otii5UGdDpjba3TnnpvohnZBtOlOoe8lywHuNcl5ie6uZIujTd
t1W152qh9hghFS9qFpxBqiAWOmxS2Nk8s827lzJsqzMxp/qtiIqle7ACwEJeSWPhWQAUQ0J8169q
PjsRIviU+WvsWtpW2diqZkSpXQl5/wncanWPk8bxqhA7mVmXJmWxQXngDDY8FEaav9RBTeIPp+fi
pZ0eEHZ0+Ktt+qPIhL2rIpX/dKkm2Y1Daa2dihM0cGvrbIACxyVL3cc7CQ2QPT29bisxOMap0Kfo
MQg45ZF8qaJn6FRsGSkYZaPzA8qBdRpDzUy/CIJqzHcCk2BO0xz8ORN7Rn7Bd9o+IQ3QzeUR9Mt+
WBUVL+Qn5fMkqMjp2kGtFO0Cb9g8goekitPHYhiN4+A4iwFRRD0vvaHWJTeBDd+YeN00y+aah/e0
dmznWoYc2BqiWqGPCt2Mw8UGQbVWQ5VfrIasYaZLezP7/teQD0yHaKhX2xzM9rYcgVEns3LexEgT
SADd+2GYVbMZW1GdgiZWnD8Vc6xWyu9cWavNnAXuV9li73a5AB7CySluVRBFl16E0V5aGNVaK6+O
BY1D7BqWuwXB5Ii1Ed0l2pBvSGzqGweHzzHShMzXYBkuxlzfZnpoLB6QBiNamx2dGR/dqjTcQ2sL
8yyHOvnJE602vlvaJxgC1NWmLWl6pMqf0qcCJEsAtUIqW5eMaDxRI7vxKKj1fcD6meb+yQ+DS58k
nByFe7PMzDzlICAR6IpeEP0n2snStwI86RoXmH1TdqAl5Ay8Vc+mdWE0w2m55BP/zb8Is+xofXRP
tD1MgMxDmksI6D/T8qxBhMet7YV85xCRceUjheU0jNUCc3mRIE8a+VPAAd7nLtc/B7pUK63SH+Mp
8LeWv3UGfyeSKjn6GTjyQXl2MLC4TBzJdX2LAXe6kF2rtm1AWp2h1m1sNR98PEdytll8Ifg5e3Kq
CVm1RP0HV1m7ehZmjrt4EXBNPqipnxF9ixFC0/BtDvULuPZqkyIQLGeDCDiuhs5YasaGe56/R5JK
vcSK6vu+TCPSUE217xt33mgyzvbsFPFR9ETjqj5zbruZ2tqG/Nk6l8FNb5uM3jiNBsdo7LATEAKG
P5DEsN5E4TfgEKjLMAwOT5aD+pkuw0dwpWSQqAPi4LsPaax3sB52QT+cM5ZC7OLa2D82Ms7fMt/g
y2OGwv+s/XzWVn5oQ3nRQzinayDo91kttIfRklmbHWqrZ5SPd5+gBG884Jgkv8RtLL6zA9aoc8jY
c1jzi8f0M67Ag8DfAoDx2pmz/2zgdN5UPfeWVRsRjKRAc5wOMG/EDhxHu8NZpx7qfEyOEw6cg1yK
68zRsnZdb9Sfqo7x3BLYi96Kwm0/xyyDp1KWfBl7Fk9eGvfkV6I4gMJx9gylp1WvrGQdFU3r8RdY
r9ylh+e+i7JHolTWJbENZEqRF9Ti6PWtyXt6b2QGvwymp+fAGL7KNKZbM5qjY6j34nYS/BspMXdN
N0PP3ECSLGxyTdyy24pNZpGY5PRBDe2knYHlwEXCV7i1OVjQTl1pUCsXFcMgbcIxnZDxRS9d+xG0
u7Yh0YExDAfJDdP6jVHPUMoCyYrVB9EeJ20CG4ZAv9sW35jBvhPbuJmnCHb9EP2gdTQ+2FV9k/W1
udansSoBp780XH5wZODKFtMNFJ7vBZiDI2nF8P6/Ze75/1GVJRuJ9S8nmg/v8XvThu/5X4aaf/6p
X0NNJEZboT3yWfjV0/HnTFO5f1gON12F/mhdg0h/n2nqfwgBhBKDHkko1EzGnb8ES8P8AyckFmdJ
+YdDpEn+J4Klo/4xASUMZE+M6QiXtolL4R+KLHEwj/S0ts1Wpx0m3Wn+EuKkgofTXuMW6kB+EOGx
GQlF7dxr/LNSxpx72ZIKbWqXvq3MCJyTQbvOdjBHAOpAGqI1Nx0kNxrjS2i816hp3GVGd3YJoHbX
KGpS2UO7w1fNJK7v8bUHwAyGNfqKf4M+Qt4pooHnENLaVCNBZVm5U1OcvMGjHgcOhyOeM9B0nACh
juHs13M/oN6oVx9mVXUb7E3Dbuxd525OxHxT4c7cYMpKMI4kxaasuuShN0jp94au4RhdQrp66qsP
OonzV4M+6ZpZaRejrklMb0ioZHx73Y5fUicjX1LhrgdfNID42Nl9Nj42SzYY9xIxYX1JDE8TVqMS
6/gbJS0jWVzsTOB/GvoTsj8jx9f4MbBFElB0MBNLVteIck982l/1tSC6HFArd8vCW7GgiM59K68x
Z5B7OI2ia/x5SKolTmHhlAFzIN8c0GRLq3EoKNB2+Z43jQn+v78GqzUcLObJ6eFh7QCPF+JQEPRa
k0vpXrquZehgtG3DE2C9Aigy1tm2ivP4w2y7hHZeq7xjPmf9CIUYn/C9kL0iGE72exir/FhiX1+K
QIdx46dD+Zw1OayBa2Q8k+itq3yq8K/rcyefw2u+HCwSNqTZjRYWilU8CBXE1YbfYHzuhza9y8sq
vE9EE9dbH+zAHpBgszOXQHv8Z7gdhoVNMcU19e4sAXjGTn19VGIQ2tq8ZuQ7LZyMvWYRnZfNkqJ3
r4l6YWM8XUnm8LxnxItXDIRxXFY9eAvfgZW84nAIA6Bk0/BXKE4MMN1rhv8a56dHeHyDcO6c4TjA
JImu0f/+igEI3cnwOQqpgSFTTchoN/zJChi4c2/aK0MAAncPU9LtztzHjGWC4zwlccNtgM6XnvW/
ybK122fzHSQ3M30AC0J3uIvCBwvcvBOYlE5jDz9ilxL7zVZCOPkbkYXkZNsL+0AU1G9hnbM9cWUj
MH9rj5E/KYh3IzSNmoDYBriGenODGGhDJkgBrotOA/TF9cCFkVEaoEoqoz445tjGW4YO3VYvCK+j
zWrAG7jnBw/kSkhPVGHsvtJbUL3EGGI/VO9YJ3voiarpCxEiXtgQVuG8dD2+y3VhcqOYWmG925II
0G0ArEsxo1pAE+7CnKjyeZi8pOusY91bSxg95d625YrSvUp0+Y8wDrhTpleYRX0FWxjJ3Jn7ZDIA
XgRK55F9vUdM9hXn21N1BWQUkY2/L8Re0q9HlFdMdX8CNa5wDZywSKooxcIzSgP8husIHMgQPfma
c86ZiHkS8CKjwAf2vbC0iNjDgvIwFqoHMx+xjRfSR843nDs05qZP7J3FhZiA3I26Pj9TsKtwki3c
kHohiDhXmAj2bcAiAUfN79pMj0qcWwvdsnDPDszYJz5RWAMzGJj+FVXCZjK9Jd2UXoAGgzKpiWLh
CEkCYydFm7uY4frPuLbGnR001XpamCj5FY9CzWTH9eWKTQlSNT+y2MjsW+I6/rsTa86FXAG0FcX5
4dgEZfIKGgl5yWkdG1d4mmkv1YJrIeSuM4Nnvk84v4TnwtGYWDnf77OuG8WP1qxcLtdXEgyWHIp1
rSshprvSYhDOJhtle6HIED7VqYy80mXqBTRjL8gZ50qfEQN5hYwLjmdd6TTNFVQDsSZoQdeYC8Sm
NcruPV3ANt0A4sZYYDe42LRHi+UsWw/Y//qFT4GITJLE2CAs9+/SHU21jxaIDooAPB1SrD2KRwtk
Z8Ht0HuBpkHZlLMRpVnkVAq0VvSoW9ko+Vk/embaAL2nC50UFds1D8loQPfBbMv5E9Ve/GCOad8C
yzO/a7QC3BmTKLZmNXbPKYyh6C4LEZH45TnTgSQc8u/xghcitjCa626BDoE1IRsV1YWzIWHIdLzv
08H+FiywIvgWRubJDDax/JNm1ICSpmKPBnMLdaaFNetLNAI6MTbkPEj0yX5aOmVn/667EpPsiJSP
57Q2q5a1QJWaBa80mIlPVIBLkUHH4tpaMEzJAmTCu2Dsg64Pv8GGJD4oaKksF4QTfZDdWzMxclkF
2YJTJE/ItX/5HmqYfOyce39t3oK6eOhg4nmmql4oj+WLGSxJv7jFKx9J/xSZVGgwn7N+jGGsHwK4
ExhJSVe0fTl51hQBrOL66lf2F5jFjzawNBzAGGxaHzb1umNkjTEgGK2XNuHCtaEOk08tTR/ATlFD
B/NgKcmsl5FXXB4GC7IypX8F6E9TUxLxKZ3MCqtq2lFhUzsQRsbQ+VEUVUFkTbTiOYRnNNOZ0EZy
P4CXGC8zH58fvlJQIIeeo44VQpFZrnIFCc8YCcnV4z2EL21j9BXA4ZDRczdS1gS8nElbakbxoYBf
uQnj2H5IJEwo2fukSHCAfmZOZPx0Ir99Sx2z8cZ5aj60isZJRgtW5A16XHQrGjzUxUZZWeXukGNC
JpJMHJf2G8zEcaFpTxZ0SKpChz6iqzLpqtwzqqifLxWsLZom+cAEXlYCCKJVsTUFId5gPJSRZl4q
2A8RcAczKDaF6MxXw+aOeXBns/lyKh8hSaVkvCzqgA5ZRk5xzYrQ43Ufded2nuH6kJCu3ZthLt2z
DiR8Qlbswo+sbEySQzVFvX4fth+l0cL7JeQ6fdeBdMUeTE+8Oai/pBE6OgzsHZcpgM2tjoPuEKiU
lrlJ+iPXZxhoogaEvOoS016s7+qYZGDNSqPgegspt3nmEAVTNMH399lUU/1KXWx4TIkHhF5uLD0c
bErjJajdBcWLHq+taZLyBWFHEd92NpbPlalkCzhRC2dPJG2tzlzBMszSwiETwGIHN6pedj8u6PDK
Rp3HM1LSxIBGI2M9YmYgjkC4YHDn4tnEJ26vpRMVBwfY6Gs8VF28x01X3ff48snyBUY9bbqIv/KM
PjTBfRd+cDPGDRhCExf6O/JAdW+UmXrwm5oaFd9QLQpIPzPKzzqDzwnRSJ6zmXb6tm9ir2b+4fXw
l4eVxsH0XgZyOHU+L8/apzFhcTjN8jkZOBWzZIRAlSIdUO7GCS0newlkTPdTnZHYS2iF5UdI6NeU
55UzZLmuTd85KPgPOASn4OyAL9OpuqK+ma+Ni4ySZJENdbCKGa2wQE8tCkXYPie+JRC82KNvO1pL
TnnXE1cHI/uVdVI8DEkfNp4o3fQ+nEftifCB+2z0I77y3nW/OrPXn6iHGU6OlNrbhGUJSaaKKWQq
4u6N9ZfjglW1hrXOnCaGebSURAwELg86DM2XIprIZNHVl75gPylbPITQ2VgE9DjZFczjMQe7Jnzp
AAtVyklZR/fR0d0cHJO5X+/RG7KjsntSMkUfUo/WGCrdVjqDL0YS7G6Qr8Jq2vmIZNFxblVywoA0
VfSvLMyYKE4r6jzc1P3Zoyl8NjWDyTVe49zYNNylnq14CkHVhcNYi50eAhbGc1WH1jECugPdDeoc
pbn4uXu6bPLC1d6LurH3E7CrJd06pxI8fU6uc1yDeCjnpZGrcF6RCYTzICGEIcvzSSOdjsdNEkP3
u3eJDXOpyY63Qwu6C2+jvQnA82q7MbfUweT7xAdzpp7jTB6lHFEArd68zHCQ5AJohf/tyG8kyav5
mPgTIXCXM8Fd2ok5J4AAvNg4w/WHSR6i6tMN7ATdxtAJbZmMl/uem0qayxoZLA+rqroJ54LjEVBl
8vCGKDPr0sYY9I5SNH146wx2p25V5PvDPm6QCUZo0fd4xSrt7EjOJBj1MQzuaGGV5rYZ5zA6IClG
MOWCss72svaR+QGyTs33bCYz45JlU4v+K/3vRF9yUFFjIOxzkLamD+E+GgxyRn0Dn8yAxhSthTFF
aEvBZOjfTdU31IO0Nba7aumw84lAume272rYJ47ojtaUCZB5siG/qRvJrg0YzXIMVONjmAMiPEwR
YPhtyADeWeUE6uKbwrIHe83Mu4A2nBjNllRpr3ltMKgdaGnXJxmPJ2Zbxg57l0upun/Mq26qDPBY
ho5NqKDpdaNpKm3exqXFsazGKbtJoarYIJ9oVc5wrLZOecx1SO17nzzTtGplZofPbFKqWZygOccc
fRjO6DoO9S9wKfrsCQyUFX8IvsM0kXXt5OWqXNK2lQ/VS29UfxdXrvsWc7gDDTfhAvAang4Zyjqa
6CgOUGZOoYZCsKGH2qZ3HjV0axuLLXF2au0UZcmbGyOUrCoBYJH2QfZEupm/a+bIwDjV57uYqGFM
gKoDjpdgL6X2ZSkFMnu4a6MqQy/yYbwZLTVCfKI0/yeGG412NzvmZsSIYSmtT8Ppcwpq0zw0g0Bm
wDtD/qsCatkJ6Fwd9Z1LZB1PUm9WmoW7M33ogoa1ibKe5BSMfGM5tfg4TXyHEA+NlEH/0dhOt5Qc
OGTpC1UTp5y4Cqf7qKmJwDX9FDw3dPPyfjiLJpJGAcNEZabGDQaxPqDLl+zW0jWka14VFy6sjywc
aXuo9XE3BuSeKpZ+8gqkkp7IyXFjSuKyfs80lR/AO2nrVNn+2S7TZuHWzEJR7CAJFM+ZNG9lGpgP
aMXWDvN3dohRVmfaF3g51KDqE5/L9huvvLu33ACjMIVkoqBWsjmUej6+B40ePE9T1L5MVdDGOxEL
49ibwiab70642xyRvgWA78p1QlJcX9uF0DNCY7IkMglxN724XYdZZzaZ9m81nhjZ18Q9OYiT5PXh
YpO+cvyhYv5PlWBT+6ryWkoL4MlEgCe8gYoJVuzKVZv/lrnlTfRZF03xs70WIH+Si6sjWrn+7EP+
2382f+tH9t7b97/8x+Zqorzvvurp4avpUv4oDcfBV7H85L/7f/7X179jxSTsoPAn/nMr5vk9acL3
H8PXV/n76PLXn/s1urT+EAbLsGsrWEtMLxlD/vJjwmjSBVFkiyUVW+YyoPzlxxSCsAXzSZek8ZIw
XmySfw9bqGWuadruMlhF4flPZpcmzT6/ZS0UOrNrY/zUBUFh4sQug9rf/ZiyGPywhojmqSE7uhk7
2+Ck5yCrv7cs2ivL1j2GMDiJ6m7ns+espa0/k07Vz0XTv5pD/NaVTM3qedqNYd+hv7Z3NPnZawNk
NrxzLcJz0FjrWqavrYOGz/3/lYJDrNbT0WR0u8o7RTlqSfRtiG9/ezfu/rSV/lfewYSN8rb5P/9r
IU/93Wx6fXKOCYgUfq5pC2eZQv/+5Bik0I03FZaHEOUJPNCJ/zOvyztd2ev/7JEs3kmJ39bFjigs
Gi/++kiBRv17n2ELaESximgyjHPtPLVkzAkJ/uuHMqmx/u1Z4dylqMlapt3KlPzPYtb9/VlNKhoy
beAIlKv+0+ZSt7az/KWdmMXV1M3j2ISnDM/B0ytVenbfMdZVVr+ygyrc+WJo93NH4i2y3/ipb3me
3WhQEjwp69dAG04Qh9+N0LOwl3tSFR/1iNxYmiHE6bw6T1ZQr3IZDVvf1I8ZMvGBojVGEH0ybiw9
GrzQn95VP79VVfSdnj1uBoku/x8vt1jeub+/s9fXwHElLDKl8BMzf//ra8CuF1KWSaFLgc81ZFgr
shG8adhuywJoTvHKCf8dbtLaIHU2RktKus9+pFr49a/fjOsD/fUXsYUwIQLoumU4jviHX2QKmaBn
gcRb1zLtFxUElF6zX52gqTESpZ8p40TOo0CB0lPdzd8KOf1f6s5jOW5t27K/8j6gcApuw3SqkQmk
T3ondhAURcG7DY+vrwGe8ypE6jwqqqI6L+J27pV0gYTba68155jXNOLsrcF8bwUy6tro5G0ygkwT
JOSE9suchM/5pG0oQ2/+cLK/Gassy1mAb1iubOJ9jE9PaZE4jpK2Y+TTSktQV5YHWx3uzF69rRXr
XLXxXdOVe+Jgd/NobeNafYCETiqRCV1gjDw5J16PENpuse7PBCpElnU3VND7vz7P3+4uQnPIQzpa
N14lwZfu493FIGNbyE4VWKLZbQW7eDPkqKswGV0OizcLezteiWFRGSIhSeX8TNl8O+WMOChlvj6Z
5Zr8eoM/ncu7oP31BQB7yAdH+x+qVZEdAeDaC4poNaIMYjuMywPGkqNvmz8e7v2b9Pl41hK4ZnKn
kHB+eqBsAHTOjEsWoQoFZhdWJe1DCY924KkwbzUo4YB+89LraRjhObfjKyua9qYaPduTQe8zCRo/
HHKSUtziifzLddi4mzxp7jCDpkc9sjJy1l2ShkR87WJmgu/mrpicnJy2MXeJBUur0qCayl4nKbPU
kPB0R8yERK7TJfdNsz6x/wqZJoAFAoXV7FpHnfxS1DMSJWYquiQ9ojXmq69vxMePuQ1XEHaBThAc
a5Vmkzn38aGAMQ99DjyWN88mGv9wk1QX8OogTpy/PpD++2vCMI9OguqYHMhYnI6/fmDFTMseW1Lk
G4l9jPv0rRDae7OmWcPS6jy3iR6Tcbg163nfdtMNaRDfAgcNGzjBZzA1KA2aH6E94/lOdzLT79pW
nscy+5uq+Xc1c/X3M/Hr6mb+/mh+PE/qh1/Pk9gdm11onfoBlIlJA3+a2uQ1JPlTwAJN/7zvPUSD
8SpSUKhmY3GWI5wCp6qfwpm4EiSjCgOvRvHHsTZ2cI36s2xkDvV5SHeCOnIb1hbIXUumD0jGSyQ/
7UVfDv3KrDpykNp+JByMfXDhcmBL7SeP/JGMRqMJIJ00CoQkce7Dkuu2hVk+MgN5CaKKor8apudJ
dA86AltvpnL4mVdkI40BCapsPMJjYaFkxlbx8PW9/f0hotoRJlUPy7TBCvLxksGipNwwCpcErOAC
GiAfQfhM0AfYdm6+PpT2b8ei5iACkeGzhq/m47EwoNeQt0vX6/XZwIYwQzGrjGMl2cFEA/mnWY2I
vpjOTfgztIlcL40GsojLAju0pfRgQyJjS4S80tzpDye3HPvjV8Zmks5b6/JSUa9+esSzpNdo46WB
h5TmABwS3vhxru//cAU+VyqM7B0VQ7CKF4WIPfvTFZB6StfbykIfITi0dXvcTYQvEu/Vbuc4Wvyd
3c0QVtVLVot7JlzXojH8RKWvbJtF59dzXhF/GxeY9scrB13ZifSDlKAZEqq/PtV/O1PLMVkUeSzo
rX36uNAbCaDsxoHnMG4akzjf4GHBK4fwPFRhFlswDoi+wUPQ/mF9WQxPH+4Elit98QHZglVZfP7Y
9AzC55LoSTrJ9kOwtCxcuYbH4xkEkPVTt47xPXz9Y7V/O6alQX/FR846g/zhw4fDzSeVWA3hem4N
9UJXmLrE1XioTJtE4JjSPu9eo7S/ryPzhQDKF30mzSFQvkOUJK2Nxv+FMxY/E9sgbMTGAHz39fmZ
v32AHbLLCBZdPsKoKt7P/5c1d1RQHql6q3iNQ9RLIrcBOOyAFJLVPER4uwhCPpo8RKgSfyYiOnSz
9Qx5f4TmEXyTNTT4xDJv9KH/iT5nk48qAFK8jEoaXw1Wuq2igaWqhPxala8W661vd2SZhIq7L/nj
uTKHA2kB5AeOjQcAp96konmbcvWum8xvWhN6zcI+kOnGhFrq9wbRO19fAfvjtozFzlkkLWhJXMG7
Azj04x0qgM2z24ho/PT2HbCHayQAO7tgxl6R4bDOoNn4jYjO1RjSKwn4X2DW0ivKGr8Nm5tWDjem
TFgMFN3B6mrimZAs8BA/nVx9smuLyYXbDPBNyIpuWggV2Gq8egg3crBQOeXpyQ5NpPng9B2QJLBi
nVsALN80PT7T6/FIz9jLhNWA8GwGKhiYsZ7+iJK+8jq9vpDY2XpOlO7FJdkipzFJTmmWQhCsxUsP
RVUxjJA57bBtW+tcKum2Zg/ij24KXbsArm2CDPFHBJ6lomoAtehvtvnoTRoevIjprjGCfeSPDsy5
XgcZXpbZkz27BI+8/eFWfH4/IShbbNJttnaqAX34453orAKfVg2g3tBhLu6EDRt1V9M4Lv+pNP/n
hwWdzgb//ddGx6//9X8xAeQ/n3sjH/7KfyPlF1fO4tvyXzdQ7l7yOPuPi5cf3a/9k3/+2d/9E0f9
iwqMN0FnS0CTxOBj9k//xPoLY6pOyjAirn9UYf/ZPzH+Ml0VZrZKCwFkgtB/6Z/wldX5VzCrSSNy
gWb/Zwfpn5rr71tER+lfarDf1g3X0FlFDV1wNF39/J5K+HCdNUKgoi9+paGQXaVK/ZybRriWjOBY
rQ4m7fNd15BZ+8uV+pdD0z769Gg60MAtgZOW9gYdIevTdo70CjUZ6FP6WqaQz7bkxSkt7AE5NuNq
cfch+kj0Ez3naNtVanxq6Sa+0qsOfbciHsmPWpNvgEu+70UvkJCO8yiOSCRIyxSxcaglzdNYNu7Z
iBuk5HLi0Q+gNU9Qo2D1ysq+Zm4p0nPFxHVdsxs0kIasqUr5P7Rn4uJmZiaXZokoHd5Ac2b2l8ZA
LLC6iXbeLBDHFu16Y1zYAErvNLVm+FPlxnxNkaSfdKdR7uzZxKTqlO7lYBAFY9uGeUa0jeZIUab7
JK6RwdoEQxKBSVhwZnVberLi6CKy2C6Qrf28rIG4UxWF2SJpb+nOtAnRsEVtNZ5U4g5DLZQq41gz
CKMxwhZsG8YMAfG6QbJlpuc840hMSDHSK/0G7UtYrRs0trTAFa5aY0y7qU+aU4s7jvF2HeXXWHd7
MHOT+g0pSsNYWSjFtCZvlX+KmnZ4IoExSoE6D/ltYTSPXa0Igv1w4rp6e3QK8+iCt9qFiWx2vXQg
9tTKs9WpLsgBc7SgOo31KuuaTl+laQL+x0pQGO3mfBwvOtQ13Kw0PfbOSNYxwJKtDtiiWye1U54K
2op7nMBIQPpouAuNMtkiVSCVmP7EpiEO1p87bnejpepLVliqj0eyCYD35uM2VdzLHCTxCXliuElB
C54NPt4ltV8Bp4sBiK00zk4jiMZ3eXOEN7addpriIarWBJDYaxJAg2pD84PbL/MZii95nqCfiCZW
dMDEID49q+2aRyvUnEc7TdVzlVQ806E4Ohof3mZ5ztswztaMNc2zMUn3rocTu4ryrvUASjW+QZgX
Cg+3QshUQ/HiDjZ3Ni5ad0WXK72lO+NqkJ/oLBFC6SoYpQBaa2Th0vN8TpzO0DYVuZ4ql1gtai9t
wLP5kTYIlvx5zlGdDDpIkDyO5wunsI3vhRm0NxAwGOPYSZttpwL7zmAE9hsh0vLWHhr3Hk2ejh0y
6pRnYjfGU9zl5p2B+VPzxnKs7QszgqDuF2NP8R/0IiBLVlHqLb0SVvIBFmxIh78mhrZNw+F7NY04
anuU66dEalJ7dpxmAmUtprUrNAc+6Wwl35tRZlcDYAkPRmZ218S6IDqx3jcFUgwATT/nZVyZyxFg
R2GQM13a1Y94bJLdFIr4DPQ+2s8SKKAWVIgUw9ro8QdDSldFzEyiG7X23hp09zUJjGCvlNbsKYIZ
StEMxP2FTS52qVontRfjLj3PgAP9iQCsR+ptFP7doOF+msVLMPfFhoTV+Cd9Y1oOYG3IEuodnCeu
9pKHs3WldWTlBlHAJRyd5p5BeLnN+kY9tXTgnqJE1A9lYhj31FTmPmoQDlbMQAJPpAvatuvSYVs1
TYbvoMjGZk1PUJOviKCK8BgZMkRAn2SOea/jCBp8wb98kjMJ0MySfwaBQVicCfZi9jUowvMOBOUM
IzROaHxYwDOmCMmGy0jQ8ZIO1Mw6VIGqoKWaLBjrikszMOnjF560cVoVASFdJNu4seopRFv5MBQx
ikQ4Ywl+ZGtceOBrQMaQjeie2mrKD7NBXMqmNlPqIIeajiRiR3sWinCRJM39vlbt4LExgP94idIP
BDcVQ6z4OEZ5bfpYCV4YOi4Zuvhtj+RgDg9dUrT2PmAsGzAmS+drDaMPqjmo435AdsBLkYzVRYu3
VT9AlXP9Xpm+TYNS6B65l8G26DPltuiM6g3jc49tuIz8wdb7zle7DjcV9WSL9XvKiyceftzV+FDx
L6AYIWyPZFgaRZ2o0ZvVQ2/hGrVrGEMd4wM6LUOlfRur3lh0F6m2ySO1MFdkTrXflALXtW8DjX0E
a6M+1TGsY7We9de4a/W1Yc5satpZbmDeNpcDEsUfDZSoCxzGboI1lqRtrPEz3O5sDsrtFDL4XvPX
4iMSPLRIYWUbdxidLXQdJi/9qjTbGmWA5ATydE4XN+qMXGvQEpieYUo4/Cpt0goPf2fyvaD9EWfb
Mp3AERHB1xHaAKVq3DgIRJQtzndHWenLusOkqHxg6QmAOqNg6tbl2Ff3adzOxxRvxoZbhss9cVpi
yqmf8W2y4CEudFcgQ9sDEHfiKLNoSTDNy7y4YqbJbMbkdcCoYuPuBexHGk4UYYawDeJHyadk1glB
gN7WKZ8k6g/UK8fcrYdtlCKZWSFsT4o1TVlgxy4N/xuFWYdFcT/DoMKFqC4vOjbQuZW6H6qu84Oc
bZ7bbiLgm8wZt/kpAQijX8J+iYl4JG9IZVK7dpENPWHoMD2CadtrJS23RmuNVzRB3BtI3OGD1gri
pxYAUkD6QU7WpI6IpMjFOgLDdWqiMLpsaAJAobIU8z4Dk/3aE9vAOxNLG7Z2OMFqXJjSAJoMdWWY
Qp6dOWJcQSqf7FmQuxpCrFpWVBB6dNePBFGTj8Y/jsw6vdBLBdcjtLwLc9QsMlzxx9+MbUv4ltmq
R2YaOM3ynOwdRtgICVZQqjCRudYmVsPCo4B9hcckPGbAl1DK1VW+UGLNpOJ4/ENr0we5fcCkXW7n
1NKhJ1UE0FfGsChAC+eKyALMLFajQQBNdcJGGX1X5bHEavTEKoepqOShog6iEPqZgyS9gEM5Znsn
hoVu6YmFjMuIiZNArKaGez3KTbnSUxMUbtPJN3SbTrs1nbh97RySXDd5u+Dke1lVO1yeKnszAP2r
miD0ap2QcCf4tApcwi7sg2G/EFoWYP1MtZa+U69Q4xybqZ27NbRvsFh2uCCyqoWW1S7cLCAumW+/
w7SWUsVate+QLXh0ZuwnNewtsunsaxNa64M2LyludR+nBygwlbFudaovXy4crzrMm9HX3vFe+eS6
V3VTzRepKvudXDhg76N2VdcTqEdQwkY80+p6fIeHpQ58j30wxibWIaj03LyFW7RehKzxChy6fHPf
QWSwloGSMcqcboHgLKiyZkT7VEwLwkwlDvvUKW7U+FNYlqdooZ217+AzRN9A0LgviIcBKeHUAMfD
RyzGsNuc5DtArXiHqUmEp8WaXJh+9s2QCNjLEDBY4SXvILbqHcqWvAPaUgpisRELt61/R7iRQkBe
YdLren9wrbp3NtrCfXPKzD10vZ05lD3qSAVsBQQnTyakM0zsDdUaILlqQcoR4msh1HKT/qCZmCrz
BT43v3Po+gVJh8WiL474oGA1ML+rB1RNDGU8TJGSkhUW7JEYA+UFQFQ8EtMwo0hjeC1Tf9ALiHg6
O4d+076T8rgnUPMiwGyPGbHcDzQkwIQSfAVhT7RDuM9K2SHTqZU3VUsClE4LkU9lVdlPIyqHdbkg
+4yBaQa7BEB+3O3qbGoz+NgZLNheLMi/oMn0IxMA3AQiaE/MHGADindOID/dnziJDnW6OV5Uvcgi
z47CgLRMyqPOgwYu7lpVrwHPf70f0z53rdhluswmaKyyU2UI/KmrhnOAgIrYJAaNAFjEqeH3Ii5u
UeA8GW5+q4uChdXGmUmR+dzg4L/++vhLt//XRuJyeAZHDhMzeEcMkD42KtKg0fN0UFof+jO9rrkq
Tlz87Pj1UX4beC6HcfVlx6lyHPF50j01c6+TvUNaXogaF3xcRXiIYijOzozAUazTvsp1uthQpwuW
Jx0wE4lIKw0B9pM2TmJPKnJ3sqq8vUlj2z0vl2xtYeC6UAaIFDh5KhpWSMjWHetie4W0ogz+7n7/
/+60/Jdalf+2/Rhq5y/7MY9vTfsfq7cifMk+NGT+/nd/N2Rc9S/kAg6PmG0D9vulIeOIv+jSGBbN
GO29JcMj+E9DRrf/QgRj0yShxa4ve/T/05DRNQhjqqY7NtlmDnK1/yvC2Oehi+UipQGIxtAFWQvL
4ce3wF7gWhkZAEQndCmaUmabZLDHHnMHB6f0tP/6dfhtVM3xTOQ49JK4Ii4/5OPxEOYG9Jhc8oFQ
0UHGT5M30zDRI2tF5YMaGrw8mHkfO/5Ws8Io4bhk+IjuYZZ0bYdeN+7THn+M94fz+twbWs4LQY9j
opGgc2bTAPt1NshYlmpgyp3toGfPbcF5aAOkMhsIJNiFg4ucGpKJwbQtzgBVTmchO/Xw9UksX5xf
v0jLOaC+AePKpo0W2adzSJ2aYXLSOdsqHgFppE1wgJdU3n19lH+547D2kVDZhssgy13+/Jdhgc1F
TqI5cSCCiJ1Ih0fGPPFuAJvG1gLQ9ddH+5ffJIhKMLjj8Ot4kD4eTepSU5k6u1u3AHNC4HW2guCl
/+Eoy1Lx6cohqn8fzzHwptHw8SjAIrV6EIG9FdEyAksnVH1Zd9Pn8evXP+dfLh4Tr2UCyO9hCPXp
QEJhoP3++AZw2Fa5kvwcYjDnKd4emGUX/w8HA+hLrxZbklA/HWzszJJoB9PelgYUlYw1dAWPk7yB
GU3CmFi7rw+nL/fi81XU0dzRtWfUBdb441WMUcLM0g7BbCjUgJLM9dNgB+pNxk4BZHCUAkGvrU3U
DvpuLpMFEpMH360MNgFU3fomSR25NYq89+jSYGtQRV2tLcPJ0ErN8xXmKfjqTlS4KNOTIkaHnTvt
CrMu+4OSQmpNyoDmdeQZgEpIrGuZ5/IPi/67vujzbxToIlxCVZzfn0eya/QBOIq9DYtI3ydE7O2n
XiAc7cW9wpSqQg4CFSD8aRtR5Zt6qt8Noen84VL/2/NKyqRuuhqln/GZ6igT9lkiyNxtlnXmfjTj
iwJF5Goh2/5hUPv7kejqs37oYKoF1/rTPWUgS2cncfELQ1hbj50Dt6XMn5tI1f2vHx/NMn5/O5am
PjMGzON4YN7//JdPS51rhmLrDWY7t9f9tCdmR/LFv0KlMt5YCg+CXrd3IaGBfoKOO/VQwmCloF9K
EV2Ow85tKnqBNvXoqumEddvFvXgRfe3sBos24Zo8lumWpCfz1LZ9eUyjPN4WEr8hEhxYO5uMDuoa
W2S9VnO726u4Z3dVZFobVxbTVqkbcvNkrfuGQPnHX1QzDR9XSZbB0Oo4snINGzitsUsULCOclqix
wCKNutfbTnxJPkDygrkkhyXsDr6aufMOYhVMrb6292nd2k8xVMtLdv0xrCWmbgppRwvXxzo4qh6c
NSAlbtoafhZU+ULwkvTFEUCiq6/uTF1WeMCL6sUJVWcVRjVq72iqg3VRkufLMHNaUE8Iu9U2uVXU
qr4ErkzfcqQF5qVyJCp0HIyapJk+OMs+CnB/wq7v89p5tYZmLPGnGt9SJXkkKcpFxU338Zi0wCeg
O1zYeeQRprIz8PTtil4zKr4AoX6DyxfimhFZzlE1jeZyZle4ArFrgcWS6ZafU62dns04DcrYo63V
ZXRb4lFd8ZWaTm7ncjOBT+Ydg84AGGjHvmib0cV6o2TimgxGcYpAloEA67SLug2YTQhD7/Z1aTaP
WlP0D8JE04avqWqsFQ0P94GyDbGMKNz2nkBkExaliu+yBhYsLWGe6t5CRVOr7GLi0KkCBpEs/QvH
GxtkAsiO7M3eiXd66EpyybnfetNz+XqlobVqpQPmHHfmI9RrsW9WQnxDhEOuB6OlbwDKQV46ahpd
kpsMS8khQ52uRKeyrefjQW6BNCcJNTwf3IehEW32YBi0UXtVTV5rkfAb7EDwxLvMQG4zoIsN8V5D
5UeUOIccqGqmmfbPOTQm5iAdwjpPxRSSbB0SO+ZVknbTSU9zEh6s1iq9OBugZ1u0UKIAEaI+U+BA
3dDz78hhexePFQYE15T1XtLZWhlh2u36QB3P1qyE8SoxQ3dblsqSm0lCiecUwUXajeFOGHiNkLBq
nG80SAMuptMCEyTaJkL/psQAmwe56XqtPkSuWKT8RX5rFEO7TuNpM1Z2dKer7ujHcdVuGs5tNyhl
uHFrTPWOUHPu74gLigw9EiQJ/yHJM+usDRlb2kMPUv9oTPVbqcEMijsZU5/W9bMboM6hQDXqvaJJ
ubKURGfKBFZlpc1i2Cp047w6w1pD/k16dnAJANSbIuxJEk+4CaHQaOL8Bc4QudOFNuwcQwY/UmMW
Aa6GYcAXx6Qu4xbfBqBvdkmsZP4wMRBURlZhSlHy2qDRXOtuM+3Is8q3sukcsKChtqGVhqefoczY
UyCOs2Ye4dsk/rh4wGWXmKu+OjAlcI5N6dQ0IrFUvSGJdDDTBvfh1JvHWmrhpYKn/Chl677EoPGh
qonWz8LQECh5ZEdVLnGAq6KE/tjiyxAwNIWjQOhJIdxaFcVxrovoGFb9E7mCzcEpVeDmYjGldV2H
vXguzm0mGHCh3Ji9sohNDOwSEoOtZMmaPL8SBTiFtyEg5ht15PeJPd/qtd2cse3F38eYLy5SCTRs
AfDGuk7HqwadG/YOJXiqQpBBpP2691ZtolGQE9LryZ7PoZs8deirtmUDZx0LEZY36yrI8hsV+MOe
VFRrP3QGXk0ydULAOtusc5RNaVjDGwOOltldlcLdcTpFeyJ60TibWXNGkE97uEpgmw3qtNbNSTvh
oiLiiWSzbCMzO/VEVg6b0nQrhgsAHRPNYtQqZY+psSrijTRt9H7trKOwUH6OYFnzwRZ3FEnztgNV
hviFV9nSCNnTLOEP5OKdSd6DJCxPRlIwxNOUaj3zBQd/V7xoZUn+J798EbowhSKwxWyxu+HDjWLE
mPA4cdV1A77XoQtuChVCmx2E0zFxzLNZ9oXnLvZfXOPk+Q5d/Ry4iCRtTN1ra5qvIP84m2QoLBIA
xsF6Ip6Oll8WThubtDuDjm4YYBAuMB2tIKRW99Rl47VexMaOAXKwlTE8Vo2PzUWcQ9PQasW9Jcde
fJOwRaWXjpnkalg5hLtmrhMaxYTU2p5dl4HKoEemvW8BTnVhtcz2VQZ+iLA/Pl6PfSSb75i3A3Vd
09cilTdh9ATQEe1k28w/Jz1mIhYTu4Wd7gXnNunGE+CC1iHZJjElUaPCrRELZTd8+z2Vjw8kNLXe
zgnzVN1w0284+OqDHmKRY7w108DDuZNmYQR1F36YZjm8xoM8MokaSV82H3rkWR4kunsDOsjaYJG/
ssjv2zTkrabrFAATvUhr4MlNG1pmtlnfom65tWMQWWWVkJTakobTkp90GCfkvnnddfuOWRpf+a5g
1kjPZ9uDBNvCyrO2fFIYItGJXQ2gLDA05PpVV8HcKtSogE1mNn5tCj9QpgTdAF+LEd7NTxYkmrwF
nq0ZTeh9qJGEh6leDG8yA54HZqxAYyoXtig2b2pGAe+RbGjmkSX86rj5Weo6jFpIhLeG5tYbqU5X
sQTbNM2CHqFrkJetaUr/AD4t/CnmVPoR9+aydiZ1z1w/2CiFK29mzFqbJif20K27C5DM4SaL3eJg
OUlMTzjp0h38j3EhFk5oomso/7l6DUXFWRPvrG9oZ4FYDQTZuvA1ikMieBKcUVc3mtG1q1FP5k05
xgj8mYBk6JM6RJxj2jJtpBv5qo96diQDNW03RcsVca0k2wYFFg0zKgEWR9YxNbunSY4l6uDxYszK
5ofIq45pj1F5C0IN3QNB4wYjbTdomhejscQ2V+t+n4tpm5bKA6mN5Jh32Ej9GqHSoQR14UeowoiO
sPJ7hCDthWszdVBZBHckVh0KZjb3ZhXhkyRK2KvdXv6oi2Fm5V6UuXpcxuuyCwmI0vk2L8leF2Be
wmutL4p1o1ZkZKAYTFfIsUuPRkZ/NUbysVoGXqXSnSIdGW8+DX4Z8d2e27Riyjt6WC3JDujLedu7
KG4zgKrNXNlnfdZyjhnH1xT2RH2FSeBNc0BztjAcbPJj8dCQbrmp7MLvU8QrVrxjaNzus25iYsVw
cod5FoaR1rMKG6O5AzEwbzOlgPRib5pS2JvJwnG3qirFObjlmHi6ATLUyJgBKbkHwghYySBw15HG
RSmf+k7ISNaKEqy2vUuqK8dfyVy8trUInuwcgl4Fb14diGqak3nXVvX91JLKgjXx0Crdg5Po/VUE
9Y5L+81tgTsZkfKKaf1BN9Izs5TbsGeFinPtMhvttzB9k4PTw4JknM+Q/45RCamNdXWohH2KhXZW
dOYsQDWaUyaVk+QJOiGPT7cBptLXcrSTTajnTJxDcuKrfgslIn+cjR+04rKNo9faWhuSnGjOKmPk
OkGWyJv4jlAbXDtNAX3VebBgBVrkP6RV8DyW4hRhQzR10R4b5kjrLpNQB/PoPtLdHeCMu8FJAOXU
+6o1s7VoigvDSjl3vSdNvuoHv8OkuWoTvIi60iWeKehfRLVOXOSAlcPKbhLeqn2WRN9pO+wtQDWK
Uwuk5ORlETPFPDoKdghY+8vCDcXlVNnNW5tlLk0zIu0CBadaLJaZGszjfAi+AzBgY852/65d8pWX
TT6vrCKs12jWqk2O/wzGsdhIolAPU5qphNkM0VJKWbVvGowdowylaTMWiYfHS64Q35x1U0LVLkZq
lQpK3cLw3CpEyWybAQ1zJxRqGH5woicE64LeJJnQLLy55H6zby1Xg2LfOlZ4aRpDvLZ0+QyJaNOQ
yLEqLKrPPNXBmgZ886uQgt5wb6LZOBtJsDi5LsDoo6ofue/AS9VVYmdyH0VzxaJf3KstiiiJeV0f
k+opwUbs4csleLz8bivmo5VBhp0la/ZUNdw0xPuVbnRXzGLyh5Fm6GoCFLuTQ6jtYA/B8UKPgLsZ
OkLcd+02MqHudTREDnahEsxrYzWr84Ha1pbPhdYBXbIsfiniMzQT/aXQwIJGuVH6s5F1P220EJdx
iT9b4srdTKpabhR3hEqMlKdgz7JJ2P8chiKgOLLKtdDlFd5vayUqp36KKkVsiyjotrRYbsFylZug
qteiDwmky9vLplY6f+Tb4cNXQTnq6gjKAE3GW+Qc9cWsM+CX8ZhuVIvNsbMoTdKEdDXHAMsSS3VB
daBQG6zxTldInLGLilpSDkiES7t8HflRB1vamWeN3FJd66qdHindlvVWvQClBV2lTItDXu9IlkmQ
RpX6WYWo64dNl5xTMGUPWACtB2cUb8GoMf7Qi56UP0N9zPqsBVaRKLcVgK3vA8/2VSsd6zzFBlNX
w1C2VRv12zEfI2DObnMhugbDDW0cRlgRAKE6hswwUM2TPaU19j3g4LUCBYxMbLLPUyoy4awzo4Ex
20VVt29yYqiBR3+bakrFkI7XK6ziAriuNq0jSSnUskUGSScMetUJtVKidjurLgT6Ecs6VLKdvgHQ
9NgwWX7G67tRG60jHT4x/CERgyeJObqKVZFQLabVwcaW5xWNdR3RiFr3xO8BVnTdHZg3bTPSS0kB
WXXIxZr4bI5S7rFo+uBXxo3Li85eKpdHkLu9n4BIYydg5Gd3IKY0KXCbiVQjrm8Oon0193Lbjbq1
zbMWfQusVaAfKdhZoUMmTwfngBufRPWurD0jpppnA3Y7NLoBCCfR1tbY/hhdg4FUCg3XnrNzTfz3
I4nzP9iOyxuXkRXCf6mgvlc6UMCp7I+K2tzrunjksM0BOMs+siBwIk2A7AcgYy2RbN3rYxMTFVHL
6EJXFXpDhcTSkMMA2Lm5AiqOdPZ16JAVATmu2oioDMINmz7zsQul5vEIVo8LygQ0UNmuHMAegMEg
gqynxCqu6VUU95UyuGvpRtVLkkbGTczA/0qva8OPMCOCLZhjeZXq7nembu4N/Tiwl4rRrpDLgNoJ
8P21QAxpMHX2KW0KeUINlvqWO6b7fixoidaB5ddKmW8VJSrWVeMUK8y18WGKJhStQpY2MeDlgMN1
fkaMo+5CBKFPEfL7VZYkkg6H9d0ey4TiwJ2Ae2qh3+QQ+DIjAMCDauNk9ey0HEKf9zx+19gAwD6R
zVjvRoABp7AvEn8uyxgcIvNLVPt0VI9AqpAvkbTcX0+Jav7oYb/oB2VOJ5jptuGsDWu2n7RiVFPf
HOxR+LKL4p8lD5m9NiqCEU9R2E53c+6CkMlURQY+3NbWhF4is6fBEp2vTAM7vbmd71Q9NLcYklgd
p9SEJy9uE6vjm+lKSApBHW0SR1uAoOAT1YLcZGJixH2QFse07S8cYBWHzDYFohjWDt7VbD4XMnf9
xMaovDJtQOCrqKgRkNpZ+cCB5D1I4PKJFBfjkhDxC5j06SYpKvskIlfbZNoQ8Zlz2gJ6YWUcoEzo
eODsErpTWQdEVgX9/UC6220a9PVdDF8f9KlLDpyCBEQtSIiaFELN1k1WZTvIMLg6WzvuPLLgZ8QZ
k8Y3MUfejK4FOAsQ3LyH57RwuO2yNuGxKAn47S7Y1NgC4CjWWIfSlMVgZXcdAkKrbrKNEgzVi0WE
mVjuSXpn8/256HIHL38hlHwVsJncdlxq58T6TWxwrMubQIDN1NIb/CD51u2jcS3oX2IsVMPzIIir
DjWBx4/zaYIevkVPHotbk60bEJwJ8ckPmSNsFDHgfk6remuDgKhiFKMdnD5XURpPGVNRrXq3Ts8C
NiJctebBrkG3wv010CjllfVisZXaub2jryW0Mn9wUXfZxCvfsKUMeP9zMDgkMgCNqDgr5EwkvVLd
CHLIFHSyW1ofP+ZGN/eoN+dVOQ8PxInvasD0Wzq1GqGDgXr1v9k7kyW5mbM734rDe/yBKRPAwgsX
UHNVV89scoNoNkkAmZhn4Or9lOxwfP8nWwrvHdpIItlkVwOZ73DOczr0EltAACaed2jCeea5RB6U
OYQ53ZwcP3uWQCS31TieYtecoSmxhY8QZhRbpjrD1euU/XOuoI9FhSoKixocEBxcC+h6CLL7s+vh
0vfwclUcXqb/Syo00MNi198Yf9RPpd/1z8nk9x8I7dWNT56+mNHdzhpb70YtN4USIt6u4O2LzNH+
3adJewhWa74JUkFivPt5/JMZLBU+83KiwpwEsKPLmQfUvPM8bzfo0kAYkjSE8WrAwv0fNEjWvDXJ
2YY3PM2sHQtRppyZTh28cZcOkAHB8vgg3sGX03DELa7KYMH32hYmK1W/B4QOi+3aC63etBxjNJh+
c+kSOUUxgfVMkTLjx1KTy5tnGLHTiq8+TN2zgKm+L2rLvDEW8fjSXcD4omOiJzxvZohOLRuEDSCQ
/FZrjukUBR+bnjksWzRdtTve4jyP0DITl+CoLR0QeKy2/jOs7VvZz8FbOU9E8XbJojwwo10Redb6
AYj5G8kE6IjgzuwIE4mMu/rfr3sw0gsxu0nFTIiFzjHJM+O9m2AkBOgY72N3CMspXGRSGqKiSO+x
HnRdDRSpA0Y7mtnRNRi8QGw4UsECgstalE07s+dW3FSdX3eMdqaA9BK/VxvE/WBNfSOFMMhWxXgg
VWapdqZBWuaGiUb6cjcv4nDF9I2ErNr2WVq/yBF3MR5vaeHwLDq21Aw8CPNeB7t/7EBFEIPhOfLV
TOrm0OqEJrKlW8GwFrvtyXBseNYL3OSd9juCBRLGmubkyQ++r3XXkzl1X1QgfnTWsXfuHUv+GJsJ
XgFrbZxfhBlR9AKFhGAelJaNIqip3/zlfljq8T5C1k7s/HGlJqwaIr2xV+wQuN6Yl3wTs/Y++iX1
LmykqmuOROCZxad3lDbCYFMkkDmlMFJFVe0ivevzLvgO26+ikDGK8mhyw5k822bGOE0ytCMYkndL
jRUicANgDxmLrvM28Aq/x6aq/2ivhNfXB11xKxvTZsXQKBOcIxntvxpDmMjPlpnsJZG9ZCBwk0in
Rse9U8kfCyawm6hV/jP31viOH0xuw1y5H4PhjHTHQ1J8KhGsJ9hN/O9yChhD5AYNUzgXUKzwromX
oBJ+HZLYaX12dWIfprYfSa7yU/mozZhphN90ySNSZWa7KdFjKfBFswv6P1VpV+8skeJvxGVU3w3e
/a3R8ckrPk59lFSSh6XM1m/xUqUfZWLzagJs6r/brSE/mQK7PwhE7EKQw0gIHBDcbkcJvzqjR8aH
a51qw8XFiTRri5pw/oPPFyI3c5uwxPmOzt4nKWtpSufdEEV6dGZzubbTBPTIsnVoeh2qsMXPTpIx
s2SP0WMZqNr4c2XIwgtQ5c13n7SY00qtTVG95iQ+UQBu+q7o4AyP4pXLq/w9lkP1KMvW3LNsMJy7
+j/ZUuYpBLLGj4xxT7VhD0+WC8c8bIME2C6i3gd0HOBPOfabrVPVxSPrMnTJM/xioieQiW5Ku6hf
lm5qAzIwcvJekFSDfIQwd7X7KT+60+If55hMtsyt6l9ov1kMVhZgz1BZHvg0EuRQ4weTaUa9Lqor
B4ZfR27GT86GmVPtaZNnOxzthi66KgDbb0v8+9TZ+J2+LNVOTwysp0dMqc2LGL3qt2iG/AqKSp9W
8HR/Alf417iv60viesRx2dbo/BFDX/3WtoZmZYzV8L1EevKh2rbzNrnjtRLRX4NScZlcl5inEswn
j2oQpSxIXzvRQIn0KwGijyhc89loe/c98YriV5m07xZJmaj+qUjGpQak6OUJsXOOaPTjOkzLJ5TD
FPcHs9OBegrVn8fofT10gENOgtxNwuSnmQ95qEcKDEPWq3lSaeMWUdpbJvuGOc4elrkHHSPYunJG
JKW/c2ALnXEdth6yWcLKprXh0SnAwuWh7XPZ2DCEcQL4hnkdG3dmbVUO9oM5eAzsvJ6gbSG95HMg
0l5HSdt9uATCqQg1enoci7Z6TvlB+TvX79w3Ui6AC5pF42HuRx2+CbJi+QJ2MzFcyWtPHWoPsFjI
xhg4Gk+z6sCtcGdu+rabZegFpfwxVAHa8pqS/5zEzvQm+/vNFshpn0Dx6jZGaQWnxFt+trhcN2yO
p3lDa817Qo3Ed8AywSJ7o2q4cpljz+xxvO9JTnRdm0wxI8sezbRckIpY1gWPFYq81ndbuXcAyiCF
ZIIN4Ey0LDwcfuHVQgg8bOrFtcptnTgFmw7LA5kG+5LRWWepr7hz86PnZsIO86THrOKZZgZqOG6+
2sVbuHVdi+uf1c1y1tqA4kjyyseKyH3DEoPmDahkcecgaOeXyhFTLy2JtgCQF2u/jEW5d/Qow1z1
y07mLIF4JMsjzAkWZR7LtEcow2STte7AbQL542tVNXEWtW2035SX3uFYVBNVWv9xRkILBBEfJ4Xa
6nFaHQgrfNvdaWm79rosgxGxq6XHX7DxSBP/KNu+Pb1NlQIU7Ugx9keIZUGussfUF7ecve/eTprk
NS0Kou7szpgPCv3suGNvn+7Kzv0UxLE8G1K5XwbhVHhX73l8VvVrEI56c7w0Nw/rVAUMf93mI+A2
vxhJZT3kdWU8Jxg5/o0Q4y5/+M9ykMB0UUFxcdvQ4f6uQU216aEsb/x7T8/ylI75EcRpesv7mjQs
drPmbbQM9QYagqv0Xwsm3P+TXAIJCltQLGQIb/6m71ltQyIanv39IpP+FpC8jXcN5D1XImPUCVdM
TE/GYtxU469p5Upph6HY1aO2wEl2X7ruROj7EGlz3IphXrJgKmcJEp8ynn2zbT2WCaaqjV2gwmWA
KtZDK93qNLlqvcKreujskVWFYDbooNQCdAK7mHOFCpi7HldSNWh7X8zagMRn+ZGMOcuGdiC2dxKv
80BzIKbFeiSW50uVYAgMb+wPJBch8qpKAu5oxkBFkBr9bz46+85b+NvPLWBm6zoO5td7vvp/lioV
PEp8fC7VOhpK+gbz0XXnpUIDS6aHhWRpAvy3OAF7d2sZljOq/mUX5Pg4eZgaBEwwE5PAC4t0xHsz
FHKrAiJDzapLcZYY59kc6HdzTQHsKJCpCo/Iv/7p/wNn8fdvAchFAM3MQs/g35VzfxHLZNwl9Ri0
wd5sa0WLE4wrkeywPc6r0T8jlZfRyOUcLuSSnSzTHH6z8RqOrXlX6zFwE1apecUmLOoluo1//a/7
Z9keYQ8uLAHb9gL0qX/7fBNmeNICAb4nxoAzFDAvXF1o4P/mr7H+7geWEDUCjD73V4Cj/R9MkL98
CDULY7eL62DP+hNg+2h7OEKndojmOZc/bRp4zkhdh6UVl1E8jPKZLKhujhiM6zOaneCWL75GNsPL
UouyuJGRBotSx6uxdTPzte519/6vPxrr758N57VpCWgDnEE+s5+/yTQbmN0MJHj2xs7mUFjtUoSe
yXBQxbreMPd33wN9q8ys+g4h2QrZ/5hhOubpaXEXidM0W34JFcyXf/y7/r9I+3Wpf/+3//r5q8jK
KOtgZnz1fxVbW0LyVP3fPfP/vfyVtp//5bH9/PW7S//5T/4v27z7Hx7ecE8ECKH/k0rbk/wKIj0J
7A8pLPy0/63StoL/gAOIEJssaOBTaO+6auhTOFf2f9Ai8Wjz5SSP9/8Tc/CfjBL3v8KSAZQVn1mP
uCMC/npSSBibI/K2fteyZ+xeUkR8r6tnlHXEFl7eXC/1mdpYVUPU1VztXPRh4NUSEf3lY3v8n0fT
X/lJvPp/P3b5Z2AH5ZlHs8ix+49/6V9eV1OMMjOWwAbS3XXv4GyHKJZBfByTwn4ddBZcZklXA2O7
iKuZIIuBHXVgbPGaiwP/V7ajLENIzYjmB7AYTr2UhFvEBlkWFUksHs1+iY+r3WGaRDf2kKqM3YrC
fLR1G8N+SruWqwhH3pHlRgtV1lj7EKRHvDVaVFuO8JZtmdDPp+bAtNp2PRvGiSi3yl+Csxy0wHVK
akyo+P13OcxsHUF+zp8VPk0uD/ehyBzjgLGPZMC1651PU5j5VTikezL7h9fOeqDB/AP0Xi7zTwfo
2C+m3eKV8QQ6qsUZT72eukdaDwybyAQyRktT9bP3/O44yLG9pW5vncyKTYdM/WEnA7d/TJBlRG4J
8dhUzimv6sNMoBl8bZm8LdgLG6RLNI8uupUPCxhZWEnTfksnEvYGBjFHVXLJr6NjX5o0MXb8FnM/
ezHBmFPaHpg5B5fEcKbjyFUU4THalUsCvcRthvPSG9kD8TfJtp6aGrBLQz8Jut3ZLd6EUqF3obUL
2b+KBmFUkN2DtJMmfcnLSQAQ8eNtu3Qt8zbTPNRYR/nWmkemzCQpSGO6JoVWr8M0G9+mqRnZZN2l
Sy4z1raysy3xfSp0VmIlm0L5W/jB5ZNb+GSFxNIYrlNdtKcscdzIkjZU5enqps3BL42z35CAl8wG
O03Tu3kOTPmNyaosXFnP2AXCSUO0At9ryQ3mUGd2HWhHN13yA1HMURkTydPRInayAxmdQay9+6TZ
GMNmKVpEkCO1f92zIKu17j8ylfT7suurcE0SdgulYfz01mbe+mO5PBS0Y6Tp8TxlPFY7Cm+9rVkq
3f+b/JWg4wK8UyffKFjscmNY43IFFXN3o1bWE8ko1uNQjPPNrMn4bepxJseuzkAdljcgiO3dpr/u
66TvnxB+SNQf7vrk9rEC90QmceGwEhxZYjzqJSvJEbOTrUPI17ZkEHBMG4x5Im2SqC1NumOvrw/V
VNfvOd51fppeg05ep6yUij/OlCY4B4PiNQYFvfEWekS+BjVV2sjDOAfrZU5n9wiJwt+XjDi2DmgM
WonCS8LCCIJti241nOe4jiDaIf2F9rDVyYJixKPs7zbIw8VuQJXocURI3jV6zcioZ2rTslhIoiPA
grUJPPTBmeUt6wzneZwnQpa6h7lewWsTg3n1K3fZK/yXkTtK65r46S3gkNlSYd1MDMQEqc4s98vh
jIg1+1oIkfnD1m0Ig7wnUDpY4zv7zbytntN8JJz6B2fI5akdx/paTm5/XMtR7MDly1vHP/s+fIuf
E+ZYn3Z9n7CoXhx6hHRfrZs3z5zM/jEnEvQHCd2MSeA9h0EiizSsM3zdG+EmUh99VyDYFy3pCMz/
F3a1LIgjNDjFsunqZtjFqZ525Ef49QMg5om8QRSK12GChpq2htqpZHRIHPcxMcesJEMSlLw+shvT
oWYcRvZVlkPU4JjF7wh445tbZNWK1TCobIQzOT/nILN78b2w/OHJsCskW7bZte9dQ1SWhvl/A+sP
ZF7I8Ro76bLjTFv2GADL07QU6XcIh+MY+knLew0WHDEPaqzdWk9lwqSEgJNLWmtx8piDuFsm1b8X
LXVyrMuy2U5DX578vBMfbhbA3FDM3zbMMu/kZU8CuvMAkRBLVv/J8OzW0Pna/o/XQQqJx7X/KKxg
ONSyuoHV/gZTvjuUd8QRtSTa2zJDD1iTbEfunQxY45ur+x3FHzMMyabxwy3a/BgoAgIChqrHeMr8
cCkYXWKYnvIIrRoe6b6JyQtOJ5pb3LvufJRqGYNLXcSW/i0N0Q3PlircF9iSDsys2qg/SbOfP+PY
Lt+rPDWuTSKhXcaYNXmFWv62IlintxpNm8ElFTP2GccPXQTGefHFHKOkXlq8ydMqQ9EzoTQzZ3JC
NmbOKalb57mc/TsZoSw7MtEX+cdabPHMVdj5x8lTuXrquw6sBa34y9A2lATWAOTEsRpbPIxY1P9g
A3bI+sg8+a1sZudrmfzlyHBL7JdslGcy/fzfyIFxlMQ2wSGGb4lLrNw5hUA4oYFLhbyWM5+q1rm3
R+PLTqszGvmsAWR/x6TbPLuc1i9LQX4soslxl3SJLUDcp77c0PPMV0IXnYNL2uCWPQyTJjf2Nj17
rne8B7l/66zYU6dRPxuskc6oQoj1djXrQTYabPcDszG/VUGbfZ+EgtrS1tmKLJOJirPNqkH8kIRE
ljeFQPE+hy+ZoHW5b25zy0C9SEKU9WSVyEYMy0ie0klMH3lbW2+OMTkvFXk+p8DqxM525oqdhZG8
lUA6jlQ1VPBy5EtQa00Kplw7RvmcTfsGKOMZ+qUfUqUZTwLS595qQAUjBat+e9kMZXQEsBMiThzf
SC9FGqNVU44QC8n8uAdO99t1XWxng90Foz5jZIYj1j2IOUmOcVfNP1PPmGDWL+k39End1XNIZjbS
1ApxRZN4wgccriP3Z6GaEIWIf0yLeb0RiiGjtsE6ETpmYVCL+ft5Vizky0IXHbvWuOrnM0AEwwUu
PA32ATLAOp26SqUnyhm4gral0lfKBvnqdgMrRZYMoMYC5VmPumH6inaLR2Gt2Nyq1mmf+VM7oUiH
b4cZ+TkbqggVjXeekm7ZptWSFKgamA7W0I82sRLL0VJ2v4s1+AMB8mhXNnfbBJPdfVytyW1cF7Hr
XZ5RN239iyQugM0TCQjovmr3NyqSuS0/CCb/hGS8UY4+2d5HO04wxojpIptmNrqf1JfVrrdETXuI
ye0bIWzNY95makvQUK6jnH73oTK4LPeLeQ/37nSwB/CL1lgH+V4hXDywVZB7YWY+GWZybB4qYOyh
LwZrYw0FBkVSl5fHbiZ06lTBYblKFr+PqUgNzANOrs6ZDvQrUcdw/O+5wmLs8qPqhHoc09Tptqqu
lt+jXeRemFST+ub35KeXxLCy0VKd54TKdO50b8shj7sqfHvezmVnqphIpZardoTjfPS7OQsV0WEk
qsQFSv15co9r1dZEp7XlpfQG8wHOVWNT3+r3uUod+zQmZDmoyfLiQxDHTX5QYBQuIIWH+x4JHyBO
9lAy6jqMjAV/DiQGPLqT3VFXk3H1wmmTCh7cYaijFDx01Pbxthjj8aQZDLSawbKn8y1FD5rAuEwu
zJSIQhqwwUP/IEBvlL1x8pX6bIBQ3xoGfcZmWe3891B6CQQIX3D790xT29mleyDhjzA21yyvXo66
vTNG850RV/DIBdeQ6DzBewqMfgdjeti5s80zMVfxH5HLfKstx7shircpoL0BcebkWZyitfFuyJUz
ZJljNpZBXZp7zb5u6+WieV4nyQR/7m3noY3NIMyCdf4UilBWxtsuQ00Dtx+5AITWsX8e8u5369ZF
iO2iiTxh1dycSUzRiX9NWNND3FIUZJNzdvgJbdWive0ozeqttj13K7loNnmNfLbIYu+6pHn6bg3t
Q2NLjBJsXfc5gh+2NjQ3l1Yk+ix163GQ2PlwqOgxoiDBu2YiE3xyZ8EaJS/PhO6+Sbv4bcT+rR+R
02krJat41uYuS0uIXRnpYq3qwspjai6tfr2BUy2ggrTDraL62vRUAZd01elB+gmiLuunJsui73t3
px12TMm8HBzDTeml1ilC3VLsLC6kBDvGwoYQnftBZgNeFJsFTHqcMwHYQCK/TM56zeQ18RLrXPqA
U7RyJh2utcBpQQwiJWPxy5+ahCCkcXqteZnAGSaI3X2m5WajswhtrH5iayyPcZu4Z78f3CfXKvzT
aNbjlvTJIPIMqF8xb/t5WDz2Fk7VWpSgBIrwGDKgWXg0jJlYikrMhziXcq/b7OTrnsQbzL5+ujc9
YnXHJZxKkUdUHRkJzpYKW1vN5xagXbRI7iZ269VArkeBLs9QDkpn0QIg1a0LaHk+uFlzaExqiNUd
fbR6TPUJucnvaeKcf0BE3gFDVUaYFouxZdponNOkIciQ7fke/oz1jYgpdBhNkp9q5IyRZVjJNTeE
uxVTMB5W+FU/sPo536S31s9UwIiC4mx812VcHZ2yNp6tcRDPem00Z6Xw2apjkLu0vUqvadGsW5Oi
7cuyLFpoq3ZYevfVLzxNqEnd/jI3CglrLCJCjn6aM3cfoYuroQUJqcZrowbjbC+oSuop6A4GgKQj
Sk5it+QUvPikRkaokhR7OwrY0SudbQezOxJefUH+jqw2qyJpxugXXLpIs3hW46ypE8r205JEKhSG
E4fsRY0jZKbDrFfjZDqAxPDp9A990HcnAuQIFELa5iNFtN32obK/NXiZBkLJV8ff2b38rtPpVk6m
ddDp/OIHiH2N4hkRNzo3634tyYSVUDWGlIakzQcfaBoiG9ZUy2AjzFvdROjN0mc1D8Uh6AF1cs2U
F1dPNs9xWx0DXxMElRYn8t/Ws2xTY+sJPz8UhLK6i0azpdIc4F+ZHckTTfbOOLzcSWcblvLw9XMa
PEQ5KBcEZfgRjyz0+LTQX46tiMomppb8cswdkRo4IxHFkaCtnAgbGTH1QRHvKu3F5zkHLW4ESXcI
LDr9DVknaJ9ZO9+xwdHa+eORBVK+z7yjNaRnq8Cx67Cdra1MvNW1119YizhvmXKRjrdjH2yFvXAx
IhyC1kagEuYgXw1ix561fkdBl0NgokVZJZuFYg3qc0r4+QsLvEct0NvCpsYFKLeprU590fwuZ0Ei
tF5QMSW+WW454E9m7UdNaxU7Rkz1kSDwu4x31pGt2+W6sm+NJGjkL4fvD9faAPTQK+f7ft9vjqPy
/cd5KMWOjE0rgliCiiSvt2MDrFaOfTg48Fy0VX040jCfSQwgOsOeg+WpMDH7I+qQ7a6Hob+fshKt
MQTWo6k9je93ClB9GbDi6lZcyO4i2qOW08VbYv8yOhUMRjShK1IGB6k0weiwAF5QzUVZ6jwCrzqy
yPvJ+u03yT5Qhcy6ohC3G3zuQiLR66y22nFtGhiwAAcw7za3lVFMD4MeLbpsnKLcXAdtiYPF+oY1
KQApH4dMUBx80rVKFsZbbtvfsKQeAMoH+86DqmpYZ+GjnKLW2jXj+H2wJ/Aus+PoY8N18ILrfnlw
4vT74JDN3uJ8cLJA3Ao195+GcOoDv74pNWWLRwNxdBq6MUoU4wWZ57VyiMNRTNRRV8pLY5MMrIT9
wQGOVNtsBH7GwooM1qaRv1jvhcfKW0m/RUSd7qihwxaN8FL1v/FE2hD35moTeChx9eAjjy4kMhD7
KInIKvQcplPx2siM8lJMYdaM5Apzge+KGLBR4ezzcvkwat/l7UEolU13pXru5v0LTXa3y93squIR
Sa7VP05tTqnnZOlj2jlvqkJN6c3OGAHTpF7Ew77zLDTkGAB3JGrhkMrwm8zSch9mLF+Rn2O8giUG
Aa+UW7uD49jejVzCGk+uvhiBea6nLON1LF8GheJ7LE9x0AUELQ0Pcg3mNuqGIYiGyipeE8yNH0HZ
n9TaaaxluDaKekYqnM97Vos2lC3WVUeyhYedoaWFnTG1D7qzxsdmHZMfibaISPacT1r+V4fN3ITM
gVVz88tjzvWK56c6WpS+x5TJ0B2BeCF3i4Za3tVNswdcxsbJV07DLSkYtwxDVb87Fu4LrRY0Tpnh
O1urBlJV9li+mnqpL7bHxIy2Id6N6A1e1hQZfmyu87UCKMos05bNUUpFAJZB+kbJ/sIgR2UTTGrm
B4XyrLbjbOvZ3kKycu1kb6OY3Qees62NY3WRcXdRsYvYT5lMvY6rsn000XP30XWucWQ7m20rBHpI
1Fbvq15jQJ7B9BLE6qWwq3TvVaret0Gt3w1In1ED5n1wSv5dGdt1DTkjIoOYBG7ueepkwM8qRThj
5/Uznqpxs1InLPi7ko1pNOURmlYdNtP0XVQw+RdO8aPMEvdKihu6hhHoaahyXTcbxjdUy9Ps+ACe
a4EMw5PkiwnF74sdhlBpmTKhasQvj1HXpsO6+VhKNT+pLmkszHTMw4G8TExSUXjZdvJNr0JfOr8q
T+hF5nrbZYq4FSPuUMZB0lP7Saf6B9jPft9rRxCC7LICBjkXFS43craardoQxWgbnAtLbl0DgYbz
MsrlXAplvMc2DDVV03psO8OyXgMhrAX9jNaoFwm5u8wdJZkX19ZhnCzzPHtJydNZFmQzgl/0sNyB
94tJ8j3wR5ytaWf9hV7efse0JY5WL5s/XVpTOsZudwElzQjHcEwMhgLrqqycfYNUft9g3PYhfDXW
NskGbl44R+Jijn3UUvw5MLzbjWJKcQlaYb8Q056c8sW2Xzn4yxuZAynKouae5tw2zd5WhdPsZhNf
KykApAHS/Ndcfd56z1hF14eYh0lYtdjppy85L5BsTPqNnft1CCCtestUEhJXydCa3d9xYDo/TcdC
xgA2If4V51nxShnyXQUCoZ9un+yhe7Uh4kbjfeA1rNOhX5d6p6mdz/Ns8rgKBl++LMfDTILyZ00m
+MGvXRViTjG3YwUANGE8SF6fXh/NYUSla+YIMxfPZ2ym7Z5Xy2VAJ3EuF5W3q1DgPvjawZLbzGhU
0/5tXNCxmnb7jZRs0kXIpd8j2ZEPKyzX58Xomh9uglaRbBVv2jsEPjbh4CLHqAWNTRK/pmkQHMnK
otwZ8Bn5w3nOlOLAm9Vpsb0/GeX/xlGkyGpGUJwEs6jDcfCDVysvuEy6Vc/R0FvlBf7j4+BhPE1k
8JSCng2hU2Gt6e0vPHE8jMCPr3NBbdyq1Tl3ajE+R5kk27gKfgS95R8IyCNPSfhuuIxEX5aBU+OU
jnN1nEfbOnDr0hrbhIWb5ZvKLfFgWzx+pYepeZh940BjN2Ekzp/6DIz5zGIKr2t/sSjUO7/HwrUy
ldySG9Ed0egbD+MyBwwx3Ne0lvx1umC90mq1Yas9giFQjPBbvvm8DonmuRF5bF4AdeAsjoU6WX5C
U6x1wGSIKM2+nJ8tGwVo3GIW9abJOtlx8IK0yj2nZfkCax3JuJh27egF27nPX6tcPcD6Y+kryfrA
9oiUZNXgl0Ix4CZFX9fvbCoczkJGo+62D0bOZBTg1TmonD5lCoAXtlomoF6W5EDGYlW/wd2Vv/Dn
MbWs8GJRWKz8eEUHg59jaPFrwoOXVSP841i89mkXP7brup6WXvpXP4CeoWv1JhL5JDuAmYMbfEpl
YRQgSJVp994VhPO0i/MUUBeds3QIW4AOWdG+L4P6EHgRN3VHgHmDocHQTzGU7GhlwfLSYjsJbYTw
z45ZtWcEZX0EQyp9F4hkD7qdKGnmjvDk1sfVbXlRk9YwSf074BMzdjI8zeyarsmUKpRI6/RZIF2L
MfDVlN19y+wFbRNwjlJcrMFmL4bIzdwiDz4lo+uTGtUeMf7C3HeR2u19NKl0K1QLuMAWrhOUV2Vo
QqJi5ChRTzU4GmB3Fva7SV7DvQCqxREuUfnTYtbA+zPY1YUvqk4wid96nxFVbti7ivPtGiy5IswS
J+TXqinMuA+np2wCKJvUJXLKoO3ND7Aexit9v3NZeZTf5zIn+50ZO9DkIe2Ins/hWyWDm/9ArjV+
pV5PX8fQIBhZCmkt1nNHYJhmeusO7wKZzm00Zl7jRfNDYMc0pQ/xOpGRtfYZZWZeO8FrbpGfmc7V
ynGFvv37ZHribUittNwjlxXXMiGUgEmmSygNq7f8lgjfKEMnn3HvrUlBwAOEE7dGkullb0M+tUfW
UZRxqP+yHR21e/CGIltJ+aztOxIUf0Ggp/FDeeUXXjYjxKj3RVtuYMDJMLOYjf2VU/CxcFsZWG0M
xUikG0z/PNp9xklR8Z9oqMvuuiC4oqQ0xQcyG94lftnsroYju58O6Ekv7Oy4gpU5CnShTrVbRwJi
/TiRV7as4Lvh2TAeYyfcyok8sywXTwOAPN52L+FBaTx+ekMqnYNhxAAr2G6EuFGC+6Sr3FAqjvDd
yLpDoG6HHqGtB3Nun+XssobMY5zYYCMMyB4qv/YGAapM1tJdUxXhugJzD8E8FrBrtbz7BFeFm8KT
ZH95Vix+kujdj1s3N5tTZ+TFm92D0YY6WBy8OXdu+WToLvRif2IVbZNLC/dzGF0rNJ0E91o7Zzs2
ivtm4gFOVv+zTM1kRxy2euTBb7arEQzHyq7smzmmn0HHRA+Zlo1pdRq/uzWSz85Nmq1218cB+Ulk
10WwGcx12MSpvYSSrM6oWT7qDF632Wwcu3pgI1jx5xvrDbE6wlTd7oPMX9/LMTWjOakIDFPDhDjH
wjaftyeHCF3AzGt7oAtMd51jxM9DDR/FG+SPOQauj6+dKHgTa+9V+Qy/ZkZgz66ONRKxUrivLJvW
XYp5+AmGdbYDgjt/j3vrN0QQEeogdm9l2xbvZcbdAd2VlKYgyJ6GCSgyPPK8CPGqY/VhiyLXEJts
gDw/Bs06aqVe08Hsnz2bhc/WLrJkDFHiZGdsVpQEie9aUeJwJwu0XfHqzC/zoq1DJv4He2eyHMex
ZulXkdWiVx2yGDzCI6yr7iLnCUBmAiRAbsIAAoh59hifvr8QqbokdUuqa1ZWZtXWK4migARycP+H
c77TYtgcPBo0HGVsEPejKFidzkrt+aaWNB5rOYt3SwQBi9Ko9I/ge2DvtHMQs+rSeTFrrOKo79aF
XT7QmVGlKFFvXaxIN3EfA0IfYQKMifmZ/Zt/pBCJTynV5DKraGjGKHOONrLEZRfH6Xpk93eD99d+
lNq0zgK938SRNaIEVnKXlGV9LCcj2iRto1/D3uy2LBkYc6qyJ7uKqqXaqrz378NucG4ZV/KrxCwF
ZQUzn9W0ceZZFdQHYixvDJ/4M7ZrZDMXkzSRUZTudMqnQb6PY56lW7Yv9IBs3YYDUu5oCTCMdw+z
1IdgEu2d1ZZnLZhWOdM8LILK2YtUQhTUHbs4BnnAMK7S8amuWKu05JEZyRKu3nsFWgOEmMNKRRZW
+5oiHdgoLfV3VgD3BKNGaW4NCoUjLp9dmo3qOemQ8ay9Tusxkth59JHX9zNeiHg7METg6mKvjoHT
oG0b/JUTN0+6iEOsuhH21x4meb0QjOkY7rC/01dCWFqLGr911n3isFKsje44EuqHISBvP6nRGs/x
yP1YVjJeqJDGACLOUeazJajEIgGEW/bU/9UYRldVuRXj4rixoOxyQqsCL1MCo7rn/QuJ4IOR2snr
pGURivZavrKB8052axyiNrZItKp9gLsudB2i6iMjheWvFU8aC9m7wqhqsEe5wbvC0FZ6YpWfew8p
8GLwu4ScsMhhFEzN8IUZKJ2HWVl3AcyMNcKgmGA8BHIs/od9AYQNFsog9GOQQcgYYqwlnYaEOFfa
J78e6s9eSL2xdIpOB7CNDJo+3kbczLCSNgHAMgJVI96h2YEkVbTVI4OhT3hxXvrBS7nGnfqDRZbk
PqrATSy4TqMng/4Ts7bOWock+xHzBXU6vQbRA9haUQfQs8DqwM2aJEN+ccdsWvq569wRWC3XZpn2
uylPumkO81UbYoUKsYEchiajR3oHT6lX2nJMIcXPDU7CWGIzyfrCxgu7ZFQYTDGCZtiBg/dYZWgu
PLDBvBRC705wbzAJch5dEXloy4lJP6jWYTindiAAQKrgKVS59aFKVILWAdUK2x5cxZomum3TzvNx
bJfGLUFwc2RrnbksvEAb93WyKiLc4wsZcBNE+cigHXAzfFcCJJRmmCe9TaGj5CYin3xyzJKEThmv
nMrJ165s3mODtHFV+BVEtBg5Q52k09q0jAfJbH8Z6Ya3dThN1+x3s5OWmme7y7HNA2jBbTfJ27Gu
Cvr9YXjpUqvCJ+P27kWw/CYX3p68Wz0ysitLWu8eJeZwZoE9yy7D/KiNDnu1XO8OcS3HaRkEabu0
oFTci5Et42ipp4Y59MxBqScCT7CQo6Spt1yl6F2isb1rzeyKeC85DdRcO0jD1kr07kc8y+GqiauI
UtId4g8Vep1z3w32sNBbEX8cKhy5JH1MiJuirlyW1nRT84ZY5ng1LUDhct+EyRzrHh7sDPdw5rsu
rBH7Fk9CtmqtzMUsPOZ7Zhndkgi5jE/E0B+MEuHMFNfMN2spsyUR2voTklZUH6iMHzXHurq1/8Ej
a+9MvAAecp8uLqmJr8p6O1xlQ3wJ2RNCUlA74Uo+P543HnHKMnklLPA2KboaJ1yyB5DQX3IZMTeg
iTp5YzYmBEI51k0pPQT7Rv/FbQC+6eMxCFgYuZpNlHrG0kYnMXgX+4P+BPMZOwGW5K0tRPbBaCUH
l2Invc/j/GAUTntkJoAmRNgDWRFm9RG/wHTjNr5a0CZXYP5YVENqc9CIo1eqlpXTpxvE+fEOPB2y
DqAlS9go5abHu0MWNr5HfVEG7GVDoacXjukunVfyw5qbo9iwk9SPrdm9lSCqtmUT2DsMU4z2UP+X
t5xbNt5nazygJ0AH7gXDQ6eCgbQPHyt3605XJJbpeiIm/S7wjPxaUVxcezWCxofZ+QnYQkykezt0
xyHTmyUuXvfdGSz/Y9ckJJJMNKVMpP0q4ZM/VXesl7xHHD4j5tWCqUFYaKsEdszazu1wH5OYvM9C
aV6MyIlurZzUTW8Kwfl7vaXOzAbCL2nPPnkRlbmAVZEMyB0M5zg6jcDl3g+cZ1PD1JCAHwz9RMyN
cJHQbUXsE2zhfal8TxwoVIIvDAmpIeJ5FGVV8SWiCc9oBFr7gHF0HgU96lhQgoVX6OrT5DvmR6Yb
0Sf0adMdsw1rHXg+ETK1F7+RUW9cCVNgc+AX6QNUMDI1zZj2fnYkW14p720d4FDYVjZ2HSe8dgHr
czBeQPdUGCfvhWF19znXK4sZsOmVV9lwJco022UqFmst9v1Dm1nWpmq4a2iec/2cpmP/iTGLc8PK
Kl27hdvCGO1Fc8fGQNxnLQ24VozJPQCdl7ipITrV3J9t6h/CYGhY59j1XVANxrOdd4wVEz4zi7xQ
xM3KSEMYVGdIbCZzD0UJmIqjdddpYl28MPu2XuFaKDdTzSCjjD0QoJ5pvJux6x9R6JQ5zp+2pq/F
CHF2KA42LOOA5BV8Dvu6ImBgoNWndWZawDbKvPZF419jzyvW2KDLh9yP7rldqXlsemmuX2tXZ1Ky
SwuTY5OkwwenDzEKKBiBQksVO2vK2hU1cvLoxSVUlkrzw6cOo3A8+1x6xg7Mtyd0NRxRkZZsJBlo
x8Z0pue8jJytG7K9a1RmLcl5Yo8XV1xX7PrumYapnW3LWd03z95LvW3eEdcQL1oE9v1UGdOe9EK4
rubYLGi6vEOZ9A4zDTYxfFSrhRJZz/ikkcwVRkczIMSA4xsTNtjZcNtF6pJNhkIZp7pNCzBsg5qM
mjOItG3O6ua+6Qboc10Do19UJl2Va/Q2TeXovk+aY3NTTPmHJOQ5cERjbaLUKfZF1/u3ddzWdzjY
kkNo8PMHZAoyy5dAUZk+vnHgaDedPzZq7aSaqxFPlXIG/W+0YnEcm+mIo7e3DfC1s+Wu8KFU+Omn
VI0BKxQkwx+clP2Hjfrq3OV+/JlYjO7Wtli6MKdFDAtFNOVEivOvJNj/arn8/6D0OHTrJJr9iRAe
4lX2vf796xd8o5Q7v+qGZXIloOx2pDdr6vu3Rv3bv7jer6ji+d4OulwBM5+/+Tul3COH0/AQyBus
cmfg6zcFvCl+NeBoey6sZNsGeGH8M7FxjjGbKv7ulnEFfmvE+aTFm54UPNZPGvgilL2OF9ja+eGE
wxO3f2isW8O34q1eILTkYzSlZzfywxCFluXmS2QJii5Vxeg0QiW7hjmlLomJRf4F9FOf7IWV2W3B
BLf1I7TbAuG3V3dr0zDE24j3tMddKKODsNMWwh2zjCVc22jv5AS0EvZxFlFuXjymSvhfR4fmUstP
g+lF+ybw2Umb4t4VZbPkGRy3emnUqwIR2Q06n02DdzUWoCFB9h5whC5l2barqe4nCH9MJcz5QJpq
t9hIBsggN9qZWYu4oqi8Gz/QjFtQpcFWTCGAoSg6jmaKXBBpEwJI0qsL23rlICWpp2u+oAJzUbpE
4Nwbe1q0gz/u0SGpy+R5/SGJ9PDVqxwYY6MBp8VQz3IgnECXer2B1C1WvcdjupHz5nfSuFXV8Dq1
LIb1YaQ8iAlEriQ7nemFPnyvkXSpMv+ReOQj3fFJUMqqsT1kwthGpBKR9lVpX0Th9ht/sF5xgW4b
gVA+ccZdm+LfMnvrIfBmHnQEhchOZnQDMSLsBOPHNLSHtZLyyYn1OcLLXbhyBbG8XkZEpqy9oHJX
bqt1R6PH+gjH65BlxYjgUWxRitN0pOqc1CWLyGmYOUF4FnZ9KV4IaULvUTv6ZbIc825sZ+cm/snP
GQkRI8EyXfDF9HH0h2xPz0kLdwhFgvhS1622TdvKvcuyAFzp4Izvtae6RSsiq6JrHcgmKrP+VIfJ
nW6U0buoe+QBY0kaZgD2KmsKjssoVa9l0tJBuIg3Ku+QIIRaGoHBDTlptXVHse5z1LrnpCDmvHem
qxsWl0Tq4LV6eZ6yqN/bXRodowogLDp43zyjlCZCzB6/pDZYZFdLP2dW29000tlrZjrhP8Xoe5Wy
RSSPEgm/m8vgzkHHFZc9+0RrWkLOGo8qkXeGJuwrKamNcZKSsBSWL7lRgfTUIla0goCbjcqo/Zda
2geIIbzUwbDQ8cuuUpgQJIk4LTc7q44sXYvJz9hPRDFJgRqu3mvtujh+Yytr2LZEFkSd1Jl0fdl2
hBFwTQ440BvpjgHymhAYkDQKX6781O9Z9sUGLXyr5WTW4almC6aJKFO71vBKtQzNpME8koiofETl
V0ds2XJXTdBR3Lkj0wt3aXZuznUT0kJjLECIcARWk/YbcFSgoaER1S7rR9IO94mdasV7mUSEpga4
/vkENGHqLQMm0g4Fik/iFdYMl3QyL2A6GHQQWreh5Yzmgqx3rnLF8Cnc+JnmNq+F2YUZQhkX64BR
wAxAweHZn+HojI95zyfGUzHz+6B2x1UMY5Xg63EIiXIxexBVZgd9YUlpSfSTXaQ4fSineLJkoiHm
EGuAC8EH2FR8QhQrdzNitZfE4HkbjAxvvT/TNaMQRwZalchIzk4RZ/GGRK7cXWcKoeltmOS8+syE
wu3Mv1ZrEPtsoXXHnSzyzOiAt1kbSmOP5FClXyrQT9HGkwmyFjNz4SGLzqAk8iQxl0MbXr18gh2a
OjxgW8L9NhBaPeZlCKR79IfaXlSsYdNiOjiaaX5OnCi8yXHGPPd5gds0DYfqpi0a9PShO8X7bKDe
cpnK2mGDF9VpHmIlH0I1PLl5PKyavBo/uTbsPNRs6cWKDY69KMAxkufqHr5Fsem6xv0UmBW1paXE
9NnQp9feaRE26m3+0dfqmaYBhyTumKd36ujwfcENY+e2SY4a+i47qbpLrK2n+TyjqOhmMSCA40XK
QPhurFNjrYUDWLagL5W5KiR7kLWZ52l/5NT+2CkxyI0TVuo+zmRqXaFnd/4mJTZjxSDRoaTMSaca
2ScMVxsK57RLBTaOTseucZ9KI3xl4W/Yiz7CI7pyaxE91ECQus80BKqG88BUdmapQG+ugnBhgPvY
0da8DIxa3QWVWmEsXPZ56JXLaWP4DUK3oenOWPyjO6Gx3eysYbhxrfYyJjDq/dCJLy4dE00pdaI2
6ZLZWjp8algbXkpNJ/+zw7P10EzpeBn9OkvPnVcUL7ll2ztowP3e7zKpoUl1s2eHMMGLxvCLTYLy
7gaVdRS4Ruy+BNS7gMWQTmNZsXHm1FbrJ0tfWe67m07VqRzb/t2npoQ15hUSKIRWUcxKDUW9aTkE
uEn80ul75DqIjWMt1G8TwtyuRWE4j1mvxVsIYKbceHgx05OBOp5TYQzXMwH1oQDEEyybpM/fTEly
WIci+6mvTGSvgBI9YCgwDhaMduZU1oE2VCtYfQZpo2U3yAXEA4rAKjvl5eAmaHoKAT4+0rp47emh
+wTaGvBW3HjDNi79wjw4RiJeC63uLuBZ3Ae9yNNTHjHzYzLryw9pbdifp5YbJBp/4y9kY/DkdBq7
9sEIMBCNKeoMPGcr15TOzmcovjYC20BSaKp9R3hBhzxxjltre13jjCiI4HYZp1do+kaBScqbmg9D
aGi3zEGYeg5Bw5zJAY+AeEtDZj+vhvKeU7JKx0WtY6xjfzCm6zBVxaFRQwv01bIa+1LHXfqUNQFv
uiIIrFlI2fmEo/seIn8P1C27Sr9VJF5GgAjoQHTuP9hJTn5hkquNd7bDUuKi6SNDdGBo9DAaA3EX
7BHIhFVJCxWs+j4NkkWmJT1mdpcufRvUnh2cohyWwLLL++5ioEEJDqKcbP3Ux/HEBt1DDsBoorgC
M4VqNMXa2F79KrLLjzAulwPidbQeMXNXD8tEnvCR99idI8LGC5Pg+yQboPIe/CFzLjGVC1MTkhtg
4lXRThOTtfNsd4CvEJk77rPszprothnduVtMZKwECQFmZRs306nxBfSlnC3JMUIqXS1LtAyA4Zqu
/jK4TpWjvygoHyz9thl7dq+1f9X5wC/rJvLXymFI2qQz1Ntoq2MWR8GHuAF1l0BEYgNdOsEDgHNM
XFQ3Oa9wgchmhAZ0YkLhJlsyG2Jvx8rR5WUtlW3B0MGMeDZRqt+5iM+RmYbWB9GrodoCWup9bIYJ
x3KmHAfOXUzugeb61ofR6CATFeMIR9Yb2/Z+sOK+3BsYsQ+hOQWvXHMcln7dM9Lr+tAKdmmkQ6Gi
/3gujcw7jgyYzpMozpU0hm2DPGSRetBW63yyTwjZ3VXe2sdqArOYm0ABHcjmiyj3jz0K62cujPg+
kGb6WgI/2VZJZUBJJVYXbUrtY/gXsnoNgpwSDDIa0ChggqA8uaDKIZSsiaM6NtZ6Y4lNZcl5BoRe
r96yow78GzvErtcUJLQu+gF3RYIedVmpsfhSNuMXVWnM3JQRwcEqdNOuWCemSPgZTsV/iYf4i47n
Jws+7J9cL3Bu7AX0HgUZpqkP5MrFD9/1gP/A1fujm/1rY+WK2ctuOlIiY/7RXNxNWV74vtbv5VCz
f8YAES+rsSKj788f50fSxvw48+trQGzQ6Qj544+PY3iaqZArtPupzdvneL7hHTXREQSjC6xy0JLo
Le2YlbBDy0z3Lx7dnJ+tH/tHPNpgPoTnSrrbn3/NqA8SDWeV2os6KjfoNtS96ZIziad24k3apBe3
QmKUYC78lIwFYw6qiU73HiaqC/FbmQFFJZ0Lj9yh7p+G8yCLYu9YFWMVXQ8A4MWTYiqsEaV019Q1
R1UBqYqxFqzHhe19tfsTlfaPk9T/+AvRCevQB3hiXRNf+I/P54QaFRZiW+6nqCEwG5U8qhUALL2+
xmfscccHqWvt//xF/OODWrqjCzI/qEwdqf/0nqzxHoqOCQ0PGkwnS1rU0orZIdkDcqye//zB5pb+
x5eMBwMKwS/IdyKz6sffMPAsMweuqPb9RDSvXZuvgEg2mT6ov/it/vgRQHBOGUKYGkMOy57//jtX
O14rowQQlO9JmDbVnTBIeKT2N+z2r3AX/+D5A/hBF0mZaCI8/ulFCxJCxmww63slGDaHLSWF3w5h
cGL6YRFKYlpmswUYSJ9Xhn1zl/StJc6Y85ZcROEreTVUf6WByABdjD/tht/qw/q3WvHPn/w/PCeE
tPHWIiHR4GmxrZ9/Uk0Eqi7caJ+EoS73pduq81AMNEv/9ONYfOxt25snSZb303PvVGFTBQGh2YQ8
S7SlbJ2jVQBG8Gu22n/1uO//uQhD3mgeFIf/eCp4eM6y9pf/9ZyV/+eX43MTZlH9/Yzw29d/HRLO
KIx5QAgAYs7rxEz++5BQWr+SewaHmjOBfzhzztS3IaFl/2qQ8Akfw+Lk/To//DYktMxfKUxRYQru
BR3L9z81JBTOjycGuHMh+Y9IlH78AJMkGhht2wA3B0fMUtbvmY6jr2SfFHW3pUhgNc62N1JiNOb9
i7YRyRodcHUcyUraU7FWG3zn9q2TI92BxShXKauoXTrb8DTl48MstcBAyI8YfAXLDX2+bzWLqlDj
PgOjsUibcHxk891spQr1dVPp4a7I6uoOxVryGJDbAssWFXOGlWXZt2ly9ALkmflEKWtFebbO8rA+
ZFGHZBnn0TODSOco6VOilR+XDAmawrJXLnaNbYJ+aNOho1wUZY+9qA+s+L6ocmUh4TLc09QGwGfD
YlBvgUR6tbS1znxQuVZc1VgBHauIDgYq5pqn0iRz2ncLfzuG4hUoFONHF5A3HRE4zGIG32HnwplU
hI7PKAlB7ETKybGKu3LFln36pCU0NyRcWzvDx/+dyHCEA8LFdWyCxmcLkoZNQcJ5prPydjKEaAzW
FiFONtIPev9ox7J8EQlZS6optZXLaHMZqwqLW6PXb0WcJ49MT8vHIMIErovSfJJhMkj0fGF+iDJr
3E6p1yq0OFH9paVVPFgtsIgtKtVEp45v7H2PebBYIMLUHjQtk8PNJKTP17Wp9z4aE431MLGei1Kt
PjpAOp+1MkrYnovOW2qZUutIT/UVIGi+S1Sit1+2Vq3WDaoMQIqWSW6TY6ymFDcExmZ9xenPuhfN
s3l1zDZD3cKrsDJrq/zI8U88lOvRZH5oLEIMllkHvxMaQoNHMdXJu1uIxA3uZl7X3suq8Gybmbk0
ynrmlZaUpTxtNekbVRuOZ58x86Iht2ct+JbmueZHfCYGrTXWtqZ0JnSo5LGYqGFNGAxg+EmmJq7g
DDY+lHRy4g3/fSwdfqYm8+x03RmIPmALIDBd+7S9V+k0/rOnt2SB2j5xmDaEdoK9IxtatTeS5m1V
6IN9bAwrHQbChRwSiBXYgxAktRMyCdOcomskUlJHKgRNg1+Ua2Jg8PXZhZHTwta1AqfXT40FAiBt
2X6DHnz1bW18nlj6frB4WHtF2rj1rnu9y0caJSPStClrcM9YLlQ6K2qARgOFVt1NBs7LWqWJQFri
piZc3qHD1gu5lumKqUlXnIngQfImOlb8qGjm5PqKixgOLnSKe6Iukn6BOpnVorKb3FzHBinfWIla
/a0fq2Kv0Z7P/MspwDcR5PQTmu7bB4NuqIEw6HnXdBi+mHon9gT22F8EsM0dXZy6DoFdnoaWvdeE
n/7Mk+KReOOWw8dBi4NnAdB4nznoB8rRV9vaRMkAGYfxiAQRfZ+WTcbvOsGWXGZ9x+s0+CmW9Hjq
ITyOddRhY/Dact3XUzvTS4N7zyxbrG3QGGqzMJLVoDT1kZFc+ALRs38JfJRoTuWPt8Sh9Ocob7SD
Gu3szHDTVjPOnUWLICP7s4YsGPa9tPB7ZJNenBhy6ZBSCowqfoy2I9RRODGMXfbCAxk/h5jkWIdQ
ELCYafGVRGyWT8io7M+uCJBQ5S38XrgAFdoXv43WpeTsgaabdJBGjYhu3rTtPSiY4gBJsMR9ht0x
Wilp+idijofd6GBoDSEeY8ouXf9kAw0Hl6npaPKqWjZgJGAnPtul8D44VsscoGm8KzuiywiWfxkM
A9WycPMN4P2RxttuywfH7rxjVhIjEwgRfSnMUBxae4LK07U6/fOQ4kOzorUNexRsTZHszIgM+5Tl
5RqFcr/io16vgVnDM8Hyu6qU0A4ONsFPadAwQImQG2/tHuQlDNTolpDN6SajBL7zGgaOIUzyFQLq
5mpzzp+roMMaTgk2IMpPSBrqQ3GGoJ88GI0WvhkyR4g1RoQxta7pHSfkKTvihIl7ye0eqEagHUov
tHe4uPNimQ7NgKmrz+KbwM76ZA0uZHoJNGyccZJF1wzI7x6e6AU9Hl4/TkuRLrzYMz9xb3tHBkfo
mmx7dC6TDjSZETHD48rTM0QOzZizHlbDR4xe4XscJ8EVbYH/YJYDKwxN770XsFXxUmtq/ECBWT/3
mAwf24gAhUGfICoQJ7YTQk2SIBFD2+QOK8BFBCvikg2WJMVlcnCiTv2pqzXBwglhB6snwz/QrBaL
SQ/6vWdG0SYgEmSvtA7NoG0otZFanF5tybInYjGICL8M6zd0KBFpA7KbnnFBAW1WyaSbrE0Km1CJ
YTiF4H6WwejjUNddcZrcrPtkNkG8YWrVwpPNwLV7WTGf8W5IiojPfJKVYX6okOPdTq5DEzh5lflm
wUG+DV2O36QZC/YmLpFVVes2X/wJsY8x5eam6yvtMLlT+5a5HMm457p7ODr0clLYDG1k4B4Q7STP
KALYdeSeGdwFSahDAwZtsEHeYS1n4yERiEJwG5SyPcreMAh50PuVp+ntFpdvtEXEykmn8TX7yAiS
ExT84RwDPt5iVIgPjeNWPJuq+uD3OXZmrhME9yPGxKForr1dTxtmP/KhiT14B11v7SYMzOSFqOiI
t/I2JLJq33QaAt+pwdMiY0eePO7Vl99q0/+2Mn5+oC8FQGC4Dar5279+e+DVs3r+4Q/oHCM1XiDt
j9e3hs3g3/71a2c+/5//2b/85e237/IX/DrTsViO/0mFfm5f2y/hW12P3xfm377sG72OQhpAMft5
3abc5Kr498LcJi2cJHEYnoYNdnj+m2+FuUE1L2ZKHd0o0dPm3GB/K8wNnWRy2krPsqDA0UL8U4U5
AoHvGnlKcsfiYnUYVsDs5F9nqtx3/bVdeqPelm215ir/5ENiQoSIADsgDDSdoexJ1Q4baJynMre+
fPdM/YPp1o8N9x8f+qf20gQenSR6w3aYHTopdZgxQ1yQZeK/9BUb5D9/tD9gSfEnS4OQXcvWUUuY
vyUsf/ebYkWNHcXedNOxduRz6yskQJJa2TWTzdiUTzqrwy2vdLUmacRde7KT2HJ0e9U57dOMTV+I
KfgYZ8kZ8cINu1tyAlN7oXT/sap8AhArxeahiI8Gmrb1n//0xj/48T1kdfT7gvcKb6j5hfzuxzfr
jAUx0GQW76rYMU6Lm0WhMAlXHRg4TU0oCsrRxfZjDWevjaN74dt35lDpK3RK5Li01VMyOaxdXB1G
OrmuFuyMInkJJFh4Wk8CTGgshp7/18x6yoD5RCRhYYsFJK+W7ljtg8rUHzSo50yQ03pXsJsfMQXL
6TIC44rDaN3Z4VVA+A/G/qWhUk/6cN212QoJtFoGUXKhRbiW6XgvqlfYyXQzw+LzwLpmCwRiXCkr
kzdF7SE7MMoEO3/b7s0QZxCMOKiqLr/MAGdd1Ia1NVMzeHAS/ZJrKW4Qj0dGRJueTGAYz1jniOb2
4mE7hKo+mnE6ICrPdbkAKlavhNFGLAJBqYm0rxBUJMHGlgQV2JrvHQTdz8l1YVYLyC/oX33Bkdrk
B0U26GdLR6AV5FFx51KEEs1WBu1s7v08JD5W/T40X0p7QovZKv3QGcfeDPvbXp/Y9OluQ5iilRQb
2zGnQ87qjQ3ptBRdbhDzJ8vXKIpfowD2QA90iwq96qE7z+s4TAzFGBKlk37iZjtUlE5B5+AV4KWx
m7HeGQ1fQEI2ANrMj1dp1lQ3DCfXQ1s8kLaY/8WI0+QA+uHgcG1dzKcHiFzJdNr8SfTDHt2oSsJW
1m2aEoOLYLnAdlEpyCY5Jr3tPFF6wPIynEDTaJ9Dn2itBalY3cKPquLkQjgYTDTAnZ8fIba5bwOW
rnsr0dNtY5M+6tBlXkOrSB7Ze5EXAt7n/bfP1H/bffX9dfW3/0FaNImFFrD1dwfQfHF+uxBvnzOA
rtuCefDXG3L/+m//8u9f8W3UJLjRGNOT5Oz9qEdj1OTYFkMewxT6Tzea/SvhNTCFDclw3HIsbprf
bzTxKwebByfZEgYLAAZUv1/p364RqoH/5PB9HjIhs3UgCoJ35cDXub9/OCgl15ad9v2adUnBeYaH
CfoJjboRghyDsvB1evkfPt6Pg63fH48HtLnjeT5+OpjTwAKVyB5rPQlm/ZMI3ju66wXKpeEvr7B5
EfP3sftvj2W7+jypYxQubf2nyW/rUEZYIS2NaRAbHGQ2tmAkBAbhvmZ5k/i4kdoJ2V1qqnwVVLX3
ioKzO5P8l+wzTyBJYUkG4nTs8fjiSgIfnXhB/SiwTvbsbZGaOk5gHFrdbNBekby8bOBSOYt4cBGW
Egs7yEVvFaCMWgvfcmI8ZC45HRtLksN2xEilg1elIF820eSvVCzFm3LCYk1VEcMobMjUa5EHvrE2
JHQpZ0lR+Ol0piKHz6GqMdhWHahGZFbdJSYF+1jRN3W7SuA8XyQhMXmLVvr+o4tGMFqYYUVfEgWp
DPCMYYRcaIEmt+VkoQTI0hhlPeqmgNJb0GUT/dXV7xkc0INsnL0MeD8A5DHXmoTMNToPs7OzhAxn
kcURaNMxwkl+BnYNWxOVjYBuwhVWPmkZSCVXNy+xmPJtbsvTOLRYNjyTcUVZV0vL0+rTjI5a6m3b
4SZnEggGMQ1XmkMCGRMsejySnA7a2DwxPAOGNYhkxQAQrxesJITT8lblcbwh02UZhuAQLIPsRlvz
1hyXpKUGiOex6jSmdh2rDqyVnLlRQ7h1We9x9nt7JHYd1YvFw9foo3UjeM/jyFvYbcy/gGSVel/s
mpQAwS5lUFKEDZlGggc3nYySwdUvfUsD1hY1H508eCZG5CbLGZCYTvDSo0lZGED9IONqW/ZalyKp
mRDyjCbWvDgR4T2SkWCpD+ar3fonI5H7qohT8tMz9JYDEIA+KJdmY118C9JIkRmvsZNtOP+rZUZw
o6XH77rpJOvEr59s/kCUwi1Fz3viRadMBbAYE4MINtCwXVjd02ZtgUFCIumOoZ9slYW4nYZqTX3L
+44aj+7Or6rgFFui1xF4+s1dpezbCPtWTkrdsmeGsLD69Egu+pvTEpyRDLWzSTJevHpwhwVDYRI3
FEialhi+xeTmKB28KkZS6N6aYxjAdIET6DePQ2A6MHt6qKpWQl6mj+XYCk4EK+n4o2CZFdqcmSyB
+yXsxPEPk58BetmpzadE9/gFkAHpPg+X9tEL6Duyi8F6EhAtlwpyP+l3TCd1HhrwDECmQnWrugHR
wgt7QY3hLf0C26qWpmA6Mz6oSWVOD0pruHsb+dCDwFrkMjt1oCwXQi9fuMyLrwXr/79c/6JjlJ7B
POFPtzpAz5+z5/yX5/z1l1tGVS/P9S/7JuWPzY+X7rfv9E0Ebv3q2awaHa40JNvkK/zeRno0mLpj
MXjxKMRYXHLj/d5Gch9L22R/J4SQhEpweX27dGkwcSfRW0r6CRa5zj/VRhrzGue7mwl1mYGdAjAH
P5luoyz/8dZtmgpfWzTU27DPLJBE2UteusmatRMmFB/+IeO9d+VERLF7yQujFCixTI6XVaczKSsQ
7rl5s/KH3v6/zJ3HctxMlrZvZW4AHfBmOWWAKrJIkRJFUdogREmENwkk7NX/T1Z39C+WNGTMLCZm
0/F1SCq4zJPHvGaLEOzj2LBtf8tg/pUn/C6RfinVrm7RZxCm0gLeCPnG61u0xpjMoUjgXVT05jGS
UvQmYW2WNDiNGAbb1nzr9ljnJiY712V7/Y9uADyHyavykH55fQM4mLT+ZGPvdB4OWOs8blujVEOm
eJ+qrs6AqyAFhbxC1nnY5Ab38fYtXOQq51fgYg9r2BTBun+Zq/TIKnVlVQq0QSHEkqo9DCkxULxX
HZyr0Yvl4DOO4jI2pG/TunhUVElwB14aEdXN2BxkIoMQfeunBoGHkOEE3BgXB03hMloYJzxAcTnG
TWY2752aoQWsQW1voTj3vceYdd9hU/7RKjjQ1L6IAmfujgM0wqgD4bzXWsJZUdgwh9wW17JhlOCm
E7K+wbwTWgpDJeZFLsL9iuXOUe96Tq1M0KCsOe00s0VL2VnTmyX+vEKsohReHwD/OqE9TxiZ98WL
Ya3Fvh/L51pD+bfsYhqJwS9Awh+t1fvy9hdSGdzrF8eW0H1cLJBBsCmuXq8Rb631MslEGzlW7O+z
efkKLWzn2x2qNKaJMFaaBAD1xyB8+7qmWv2vL8zQmGyewss8h5HXF67awGthJeWRD3R6j1FhfvT8
VR5ILE24+H2/y7x13JIOONfVwoaue05Nz6/5oLh7YVWYhLRPg63jsacYTxe7IPb8TSOmJSpzui1+
YJJvLqj5//Os+S8z8MtalGVNEewrMxQa3kBfLlJwfQjsccGfKAoMs94JzXGuk3PWNDLxmYZmX3iy
jGQsq1tSj+NoGcepQL4GX2IOSPf4zwBkz5AzTq7nzhu/59QMNB4a6AyJboljErj7H2+/8z+/tY0T
Bfggk4AE7IpT4/dKRTKh0LuR256gEkDnJCr5egD1Sr3ozm3xcxzIzzC0M9+p3l8jSLzzC6OnCILE
dQwda43XVx5MtLSHoEM+ZUSaeASTvgnUoPDt5/vbVYCVBSTjPBwB5/VV6rJFfESUZZQuXh15nSiu
mJU+v30R374ois4PA+zBpBtqACEzL74+o3ysmsG4YsVcvsRe3JUbtyd5Smqrp1PPJg+0ibNlZF5c
G2txVTnli5HAOMbbDU7qkHLukDQZaqqMkKzG1DjRD2XPIi/yCRtVHTF/AK8PmssYQEeGy5yX7pgB
lyZJJH0fmS2GmDgwj0akDJamE+mMU5GnQ7YkE5hsNBl/rU8d40R1B5JvYBgdxPx7W/g+2iTUitgK
+hsxM7k+F66AVpFihj+xSYPWDk2zf5yl6s219OZgTj1Xa/bs5NZ9hR7bVQxBc2OTHjOaJK0HvLQB
EXzQZlRQBlcPwrLJXrqEvBKovrUBW0k5NQYsOIP1XSc9NMy2fMaQlD5ZkXwWK8jzsQweUhbHVpMF
923d11mABVA6Qngy5ZNRs9snFb2xB+q/tDP5t60hJDTPGHYUNhcrg9z+DqWSsGx6sEdIZ/tk9neW
QOsicUuxpcb6ViPjuk3Ad30cG+ZzebZyEKNmifxv/oI/KjOtRPo7xEDnTSLlx85E+r3g9Jys8pRM
07gdfQL3NLT9vuAA2eWgHrZVpz15DMR2dtwF2yC1UDtFUQwhLlwV2WJIdjnZM4AapVAGW5MeG9yi
BahGZVcnp2w/5UbwIHoYYGLoUOKKlQ4tvRUOltHGmpxPg5D2RxfVNwQEUdgY4yj26udO7zvkdJCX
0ryy3wdos8CMJ1hiqIloRemGQpQvQNpNrIbHa2RomBAWL1RhQTT3S486GQ/aTxUMAgvFf1YgRBh/
R3/7Fr1wyjHBGYAtMrXYQEcUNUZawerIXBryq8LgUstYvFALs2L5soy/Xxyj4Y90BCLHgjZvjY4q
MIqqpzObvDTw/7F7IVojNe2jHonIEgPgTUqxtS3X6hmsTflhoIOzBeLuf+rNMlzz9NlFVOqQohpx
7TJ/0iWaXR3p6QklQnIr9WHIDG57F0gGXlX8P7V2l4llo0OBwwEPs9M2zZ59BJk2TmLdW5hFRAjn
Pfv6CPOMFW5ItsZ54XYr9x3Xc+jNdr03KjdawOW3AYlMKlCRPG+BihUG1vW+x6Zwh5mFEq5vMaye
+VhDprINjd9rKmhefsoKQusO/3md7dIODeQdqD8n8Pi44kxxtm19Fm2Dhuj5xrldspgBCYdc40wD
G0lj2Rn6L/QY0OySSFMjf8dW89L2pgkCwWSdb4fmYrFfBWKv7sw9wUTcZDLItznCkM3U0JAv4jyc
JZVgRQDTehWwPFoEK8/B0kXLUH1gtFLvEaJ4alr2FTpxL8LlrmORP5/DBRoEL3Imj/ZHIkGdgxTO
e0pXqSr81sULqzMk5fzES6QYIB9ayafIkr3N6BgHHz2wUwkUfcfAx2febRR7d22f0ME9nU8nLKyh
ryW8Acew4yvTzV/QIY7vEMYNK5IkPHdWe9/1NUbws7kjnv6sS4KJBYtrV5N0bfo++9z37GNb43dH
Yi3QL17I7ESdVz4jznMOZ0vNi0hL9/YclAaH8MK08IkGlOIku7cI864HgY4U9U4dZfhb0IfKnyG8
0ZSxaHWUIx/3XE2k6hx1MQ3aq2PHbbzb8xNOS/GitgQ0g3t1FICCu5ctN3b+Bq0Z3GaVBo21Vqq1
08lPckfhblg2NXbisYm6b2N0T3puGyenoyPRJuW+gzUPQYnFeI50PnAoGFD+Q7MAtLfpZAFWCaYP
vb/I/ayxf3N2JuK2K//Kh91aFn18JdXXmfHF3dJNP61o8iC/wj7EYGW+OkfibFaJGPDhHW4ZnBnw
SHbL6tPhbxVWKUEdtVv9GUMe/hTBiZlVP7QhdBGGxIAJbpsAeVzfaTl+eiICa5ifV+eKhVr8plfJ
c+E6dJfiPU7eS4TRPRtx4UWqFTajF7ZJW9J0Ik04rnyqqWHRoTfUbsuWZVWpXoo/8mmsgIRCfd0+
756A0QGBS4n6VEF1JBJ+UCBtHJ7jb6miI+Q+ummFYUF9aZqDyGGtqzOOaRByQSmr2hnYQB6qHa7L
XZuCcKN0inbndBjIQrkfEHW50eJy+YwIJVMyjHo2Vkpypc/F83mt1LJ6ZrT+gnDSQ6znCwcGzi/j
yKtWpw0kQQ5GyRaIO1nczB7sCldzkUsYgWfZEqlBx8yGDeJoIgSmgFew22W3U8ZbdQyVn+M0mguR
HnDF5MBbpLglSorrzE7Bt0/0jHoHlZPZShFwNNYAbajJ3zcNRIUcTArM1GmZEAFz9EPXrslz6qne
IpDPLByNFiien4FC9lJSjTl7aUTzhPShDGcqqx9aUKyfcDpor3HOBSXfQmCrRYIEqJ9B9zGMJ+Dj
2QZ0QE1GbCHdDkl7Z1noHiYlphF4e4FST1Rq0I7NsXNS7w5rBUCRyFZt7QnURaFgVr4q4IqUPFms
3a1l4O3t2TNt5SB5HjSlpOyZ2CkXYAxN0GNhwfTrekW7f9PWBHtV5jUeTMMU5hvy8czEHMZmh0Cr
xG3m4AYx06rcTk1JyxM5wW2PjNxmLhObHIX5EYLcnLwLb2w0u1/5SsImRwdZSFGD5opbCJGefZSB
eCqxUdmAu4JFYLnTDQJ1I1JGVh+1SAhuEdiOuTzKbLWyemAmyG+vNZwTwxjCDpEQeuffULmafhWy
Sw+V8GPUEuOUuZz7o0U3Nk+WHwOkHZxMUoKWhjZKgxo+6ggoOrIaUFEtEBcHSE/nDaUyTENNaHNm
ht5dThPZ6mEEjIm9I3m+05Be1dCC5zgawgSUxN5P+KZJeqNN3XXWEH/tcfqMf/BV55b+xs+qllCu
/WpdFp83oa8C9czcF4P23ZFE3VwYIG5W+x4XaHOTd/qp06wC1WpCpp4P/a7L8JRA60ff9XPFrlWV
DyKVdItXwlI2ZC/G3AQowJE/GTGRpqnT5TOcTKG+8LqdSk4gu3bjlynX4IcbfvlYi8GGRak/nYfO
mtE/1TEtjqoQ3Y9kDZDc1Ophv7qejIqGJBj26IrKDRmTTg2HLqRmErhUHLe14qS6wKji4DRgOHKP
zXMQDW3Hv1IVvROQ3HkW29THK4JDxri3Zii1ZZ1By6pYt41aohTMkT1Nzwh5wrWvx/sUduo+DsBz
ajUy3StHgbpP1fI26D5EvWtQFnJabyD6Pg9G+lw4zZMOzx+pEv2+X1Fcljh9bqe0n6/OY6VMBx/f
eskdHFJYkMY3CkgR6qPTXffIxH4etOJrzpmWMJUW5hKg0EZQM6e8QHOOu/HJqpAskmTXKpyuQBhv
ioETb/RxC58c/4GW83OLjBQJxny3wgciC0SzqCOv0YzghDSiS93oZ1tpTkzD5wqE4YRCCdMvaZY8
a9a5t6gapHd6Z7Rfz7jZmjQZSRjvWNqsMJyatAOC7uga4F19U5W0yVPb8x8bnHauEy2bHioBmU12
LDdTNa+yZNlORYENquqFxz15TiHS+VbTLLS83UAFaYUkGEdYY04vVx6WHNNcxzaqM3gx6EwesNaO
Yn3oj0bAZEJLXxJO+67jHEJp8zZBymt3PtFRH0TzmnRHqLWasExuY1tpBZITUFwDBrVwbdC4YeBn
nJn10pTVRlUt60yDyHOdYjck3VNTcfTAUJ0+JC1bCtIVH7uWdSQxNrla6EyiCV3OHwpXFh/FMGLj
psMXThj+zF5KdkdFD4OSNdnJpj5liA9u4asin+oHxgkZaqK+yRqeU2uF2O+lP7tshpLo8QN+gIZf
oMSdBo3VFMBM/15OPb/SVS86zPrnKh7rU8mpd1791JuIKuTZFcXqC00Inqp0P/pzFrmBeY8NB6Ve
zMmVt9ov1ahy7FUchiQYbxz0WdCPUWegGsoMcNq3PTkUQSFp77sAUSlbBu0WfilAYD29XTLCGM3I
Ao97Eyq4I6+0Yc2IuO01moXr3hZcXtnDo7lJgpVp5oeyG5FaR1xvo6WTsUMaIghZ7Rxx+PHA+bTv
z2cvql09Kyl+eLvwP1N/LjpWLj1GUzcgKujQ21+3F8Z8RFsb/5ZIqyk6CwSeNo6UTwJOwT7XqzVE
6pEZ28BXlmsJ49pEDWEq2kdHfPFF+6D7mcEeptBVacbg6doeFt5DMSZ3ujmvKE9heAtmetilkw62
ARUct9KAi/uSBFgmn8+NzHONxDz8ZyarFFUsOWIb5t4bxYpfoSaNk4k6wJXbztVp1gwSulElpR41
kGRoSr1UmNTXDrmXhnPauQgbgDF9HPyfOZqo13Uvgq2dqCwwVfNBat6dk/jxsTCM+b/fImciAK8S
nJpLV0DN6H/vSOVlllYJOyWKe0oO35viq5557cE1SbqqwnnMzoGXPj4jWrYbSnnBOy3qvzTF/IBh
BoQToG30c1/fAgAugT9QMUS5h35Ab67poe/Ik1IXn7MCqVqUm0edoWVmvdOuutCxOXfFKN8DGJfw
zCCsXFyanQ0sqAiGyBfziPiH7qEUqhkfswmhantt228Ddk97RPCxe8I3qhmr8VPQmhEIbOPp7dWt
OnB/LG4Aa8DkPZhv+kUfeDAHvU2bqYhsFQRUw8BG5BBYNnPgzrHvceB6bz6hHu/ikvRHAZgxntAN
Eu+LN1+DZOtoSkWQQ/x9KRZ/LxL+yyibh7nvRgateKDVWDkc0GutDm8/8F+ahcwJuIEAqSI1ynp9
9YqXakGEkZHwScbQPcW+jYLinRX+l9dKl9l0XAcdcuePMRWnqYk4qSMjZFnt7bCiItjl8zcG8bd9
UH5dZJm9c0Xjbw9mgdZEKwVUhuVdPJioMdzEMlBGSZb317GkYZ4BlDgSEmjlTP5DyvGJmArdMzVa
r+ZyicbZaGH8C9zjx+znWj6+/a4vkJeqY6rmiCBlWOw0gS8WV6ugxoHesseK/FvTOsuvfya/RU6O
V87iHR7hWQDq9cqCwOl5Nl1/P1CDyNffdjA9zY3roo/8zLvtQDfu8FWr901sZ1udrBkYhvsdDMrn
Vq+OeNV97pSU/JhNCDUVP6U/obbjZOvN229BTWUvFjzURrgKLHW2Nly317dl+TMqclBDoioY6dOU
JM+uINQMOjY0g2keh0acUppkXyzZtmHf8Im0FM6PAg0Y3UxjijwOkW/TBPdZg6lwrdvJkNgR5/kP
tz84UsdQyCYFkd7RAutgkuMMCcD0KhlyQJvJHh3sfOsBDkRnlNmSmjoWMJ0wF8IjxEYYcNvDsYB/
BAwesfRqq8eakimllaXGdueDLcd24vj2u7mEm7JE1CQZtqAFZMt3L+e5gTHOksJQWcZRLiyOSLae
TEYQCRV9MQ9pgyVFhBt1EHsjx1E/PyatVQzPRENC6NGqjTnp1rwrrlp9gCQMFmQ/qrwZ5RdkUKtk
vaElgUipTyc0qd6NZwqpffF9PdBSpqINuwyl9YvTjF4Gcb4j2SQpRekIb0jYPSiH1V73NJj4haRu
dYIA2+GB7QnwElnYTXr7zoGmNtPrxY9EW8DyMpnc68B3X6+yCtuFdsSXOQL5fmVOvBiFesnq0X3n
QuafkYbRIeRvUNy6ZyIY8PpKTEFiYSJ1EsU1XcGcvMdAoSwUnqxfyhV8j+fRlcpUdxnhnwaPoY6b
GfDiiStoy1ObPpuU8NnEvMmrqPcKSsAzCKdRNWNN8U5/+9RZzOYtlKAOGlywd2Z5f/toDPAYgDqe
7gBnuxhNIZPjm8aatlHaVwiyl3aG9MTcbquerHOuEBOzpuGnqpfO4JlBpC9L5b8Tsf4MkB6wCOaJ
FiDGP4+J0hx6rzWMNtLt5pcVLGLLa6CDXAKGmpb3rmb+OcHyPAvkI3Nfy9A9//LkbQzpA2lsmV9O
SVi0jbJGcI9rbybbANUYGrgk1KtkyAHuEQri2jw1c1Pc4GVMV0BPnlvfWG5QIVoPI4X3prALKvOK
yh7vmvEGT78Pb8eHP89R7hgcOgkxLugkja+XWufMXtXPbC20fdDn61u506Ck7ged+olWNggyvXxn
aPmXhJ+rsSJQG9QJ25c7qSR1mBqBEjniqyzhxrIpxGfzlDf2fEgrST8Vuxwq2gE509S9RqTg/twz
pN+u7XEq0ncYjAVRzKBoJ4sRXynHQtm7SYxQkM22FiVmCqpxZznyyVzJt849kdqgcDIZP4fSU9Es
c+jXqvGLbQ7ZfUFFta0aKz3Yq2dHSdGn2wwplhLQFZxmhnotFhhYE1ZoW3gqmUcMKHLUhBKg5/0Z
cH+ebTQl3uvM3H6oStjNJJebdSYU8TdLm+dt2/Z4vK0sw7c/5V/DBjhuADwuqF0wG6+/JTLyWdrZ
hA1EGdO7omKMaVC+hKZjyw2N5YYzkCIXfOMzbXO62Q4fup5Q9JsGs9zXbocj5UKP6BzrK3NiNLpk
LT3TvnV2Uppfz6NNuzUCMD8VVGrG3bdpzkd4+0nUonsdacHGkl2AZjJ1JBwu4j3uk4xg4RdGMD+X
DUpg9a7y1Jaw0/EaOaJqG/hr9dWGLLUDC1q8c2baf8ZfiDrA2sG8gDUyLvE9gT8XwTTXTaSXTNEa
s5vvjIJ+v494LSPPwH6sW6faZlZaHAeDPYL9A10FjT52pv7LKWqxG3SvQseVZcrZxUQJW8WdC89T
N4YrxE+eUObCN1XNH2htGBp9PiR39mmcApNs1TTAocme05SM9Er1+GbVzoWfed+JyX7US2fX6sGp
G5Gxd9zVCReFeamSAB/2gKFHqem/wDGXUe0DsCk8xo1vf6S/ZBa+SfaNiwckFt1x1Vv8jciCdGBR
45PS4ELFtlIDgspWI2GDiVCLN8x+lbilJcV6nHV44ghu0PfJHhkeoGOkxjCrDqi27QJry2l9X6r4
JtwHGPIZc/H2a81EH28nZhHYWC7R23f/Z9xDz4WMgn2vU6Ze1kiD1KD60niJNN+OcMlmbkKoKBba
keduVBlX70S9P5JnjzVFfkpRZpPJ6N7FgZgaWI922L1GtLbbzdIinJqpyf15FtOfP+/AUGgkvoDk
ADQyqDHgKJEZt5p52HeiQ3kbMItSL3gveFwelOebc8hr2W8KNaT+/LeP6S74BmuQilEQFQC4O+4B
XUKmAHwnLMPew6/95XJqi4NUsgyKiT+OnaJ1egaRRTQ5atWCYV00Eiq7Z+1QO75XEZ/Zb79HFGgt
yFYgkKuAbOjbXqzVtBuZNnYZ5hRp6pywP7CJhZ23m+0gZNQEy3cqyEgyhYuG3+fgUIIeqGFo9a3d
2N6Xya6Cu3wcDtCcP8DjnPfCle7Gnkaxx4zB39Fd6a9Lv62jYFrwbpV1dqotLHPjEU+xbJV12Gf8
eDZ2rppd32e0w4/5AF+oyXuB3ZRZ7fDfbA/UMHa6RfNu2tmJk291K0VoPJ5COpJi3yXCjvBxs67A
cmhMVIoPeEfbmLV6VuSZMMhtAOUnV2g5ohZF8qGmTg7XUcNmtvb9HX6nyAqY2rOh0HbGJJAeJFEL
MXDKd15KpRZj7Efb0DHpCHa01TPm1MrdCw1dh3iAYkWAdUIlanwh7OxqyLtxAmmBpuiEmhxkWuEf
gox70NoYiq/2qZX2hyTNzB082f4aafKV9s9qfBuUv4z0CuedjWZdJuoehnKKnGJSELs69frrtYxG
bRdoJac8CAof9wz2mFWCGsHkm8k2uRQKcvqHVog6itvJhmW+2FhfqA/YFDY6j9JlfjGQ13sd2rpZ
iY69mVshzDlsW4PJpaWEAOii+fnOJ0CCne/qkCGCvVVdidC3Vu1haSb7FKifzxv5Qabmg+OBNplm
FySJM1j7oavqg5n3/jsNp8vDC9gfG4odTB5DoNEvljqR03AsgVt42q1RB0GAFtE7mcZl8DxfwgNh
6AQw5/9gr1CFOTQCEh/AQI6Xxkj7dUSoc1e0K2AQaQnejfZeVXSZFHBRYie8IjrsKmxcRKhE893c
TTsPWyhP7Bl+ddt21QVjN/gDvsVIT0O+7dh0OjLzsujfaWsZl7k9xFqVIJsk8PRT6bi8XlWLqHBP
UOZEg9tqzOWx+W5Na93lubogFi3HNpB+RLR7oO1QRKXtjp/fPrTOCLhXYUzdAy1yk1oG0K8CiP8e
pdk2aDd1mhui7KthHSX6Q2VbeMJCv8VPZ8wwVcfY4TuM//iWF2nfNhix72pp+p+0wlt36ehhOjjZ
eThUq/+k9yavUvRkd2kbVkXafZyWpT86ncfjyNQ7CWG7J6+dxKOZgErYzEhhR1Mg7yDNt5sU3fh3
ki9HFbevnpEEFj4ivDKLxjVn8+tnXDLp2rgGueHArjpNVjeHepsY22BsxqvzQwRDWt7pU+Kd+pQ/
YPAYY3Gkrxidgx1ZScF2Fr2IrZXGyQEbd3+Hryk8evBcR2RoXlqwGAd0vIGQYe+7yxLrvjAra992
2XiFAHJ/KIWLM6yzwpmdvZGpdr/XnDwHzeFCKkZSD4RPo2bsNVppeLXtutjZJG2K+2gn+tuZfxm2
7gjEIk0+Lhoium48lXfL2j6uXW4RhIYrZ4IftSLSuElEOt6YmSeftKb++faSUerwf7xOmvBgKj1a
wfDyXr/ONgjibKVuCpOio3cyaN3Wy0dsrKdPVWXHUJ9tI1ylYW8yd4HMQsdrmzutfyj8Eg/CjO4V
Hu4I5wRssxyPsmtRJPp3AQmG8XKwXvMr7mkc0TGdYSMfaCQNUGzQPCj08ceKrtI1VZ6+1SWQPUf2
6EGaCJJUndltMTJ9RJF8CPH6e0ADtdth/v1eZqP0+S/egEHNzY618L60aZe+fgM5GgQu7RQnNEYO
bx+OwjdznhiCcePQ4lD22A+NjxHshFCTpVUaQByRIvoiMV9A13qXp/EAC62pPmPhA7wjY9sVa4+N
qY8XbGhOLQvTTbRdBzhup3eskUU2OVbsfo6Wq4+RVDdE85Lizm7an6bRerI1A5/SwPsUp9lPah3k
eZhPXVdS8w4JoI0beMn+nSSfRAbWh1k/lpTjddriGTLLyKU3ENmM/EIGkyz0kUsijGW908P529ph
cmHT9Cbu/JEULnOWMqNk7Yyl8wLbwL9Te6WDU4VwKxTFt5eq98fJhXABInhkEbRrAu8SzFwN9Kr0
QRJhgVOhyN0HTwDLUqzX8LXXEV8JLT3Ob1NXptem3xHwOtIvY+Klz6Mgg/eRU2Wa+GUM4tOUuDfx
6vShAcpndq8WVEx2AhNi/gaQV/7uFhfxdacFrMsOL5SdObGbSdtfml6s92YDmM/AJ/qX0TT9AaqY
weRwrk95r7v7IrGSMAUS/3kay+4jA3/0Sc10vG+zDBq4CU6jsA1aXO4q9gmErRvAXMGRiey9hB9z
CIqFyLEGw03l1t6pg11xM+mE5b4tirBXt8PEFFezrho/O2iB7/qRY0ZLR7/aOqaXh7gesgullt+a
eqPb9Nb0b1bslUBkDMbZKV49YdBVtJ3HRAsFLxKrRkOZx5suGSgbYn0nK/jLamGR0ItReHR1Sr7e
Z73rlkWVgIpF/VjFEN5f12JduDZ2s/McNsTb6+XP6zFVBJFOikWh7lxW6W5RgwxeGycsq4oEpGU3
AJtD7y3P/EO64rP29vWMPxNLyjaY0lS8wNTR2VN39FuR5ANvE2aS2CE4JmufLSBDUfF0T1nFIArx
9fR6Duxsn/Ru2DZDd+h6woVbYD/UIAO29aaaUcDkxTiV8l/BwEGlj3xqvbGVwyPGMq3gUTK36T5W
PeHaqdXh7sQYpK9ZeefUzfdFhZGkhtCLyDO/bpTfwS+KPZoYhPcm03YJvcmHxuewWzGlLce0CJky
vIgmaHbr5LwUXvndTLl3Tccue/Hj9Zq+lrk3hpnGStOhLs5aNzQi//lobQtSrQ5OKOb0tbUPKgD3
BiBfZQiO11PAKZmyBLHKKvXrSdoyalx1mlYFYPCWvARFNo5aHJ43utqri0n86Kphea5X4lsxss5X
wRIvuq4/gCzm7CkIu33RiscsQ46U92btS5znGVhAtqTjsqK6kzIFWMT8rz8tWe8Yomlh52lU85jq
DLvBREBpBlqAxju/kKdmf8Sc0GOzEC4yLCyOs5xXXuKMsavU/RtDMMAfEHI6BjLxD73HDsX4gO+U
kEHUcSARCQT8DeYb9bCk724zAxRRLeOGc4HH1BwjxzcE+8V2NPr9sDRuBEcJHm+V8e5Kx4/K1f3s
Lt6PCrzutiht88juHE9waqw9EUx5Xy3oWouSlCUjjT5v98Dl9YE05Qoap0AbkOmkCJnh4WVJinY+
x3m1/6/xPtWFfjT/p0SADPQEDJAmv237PwQT/rMb6u8/0u/lf9x133/+6tPfmZz//wf+ReX0/qFE
XGj3WyYGPfSY/03lNFAEIkogyWmgXu45/2ZymsE/OE8RJ6HpDveT8c6/mZym+w8Xfg2lOv+L9K/9
35JPgGN2kfgAgQBfDmMUIhjiHucJzW/hasAXbQSeOhwzxzFunLKR31HYDOhGe1Fd6f6xWceu35cy
Dk7YGgNK0dwJiItMhA4IGO/tPcavWBrb1iqfOImArborDSyt0z8CMtuharatbcy4WjO3sXdFjq3E
FWszgYUCKjgZ48lgYA7jGRLJzhGzCMnVu4Mzz/YPq9e+rmOwIDrc1x/E7OKYXq3apjbju8Zz8UEp
iIVt4Q6f8NIYw2nURYObw7T1Mh0DPYDSBlggvC/HTZv1Mlyz8ZRKWC4FDMOwSAvvEFjjxxLL7Ser
MajYG6TbH0qvqL8IW+F/hrrCD8si/sArGh5xcbTuvWxN0G/s9D02Rc0NSkH2rkgQ0pOeswK+b2or
GkaRr9vesR4zivwKa3gkw4xPGUo7TEYV7h9DFXxKqQoJDbW8av2ZpiYiQ/LODMb+kTGj8mCf2dMo
6sVfe6fBNswanZ1Lp+QW1zBlwhPHXztmdRHvFPXIAE7DcUU9Ej5Ane44D6/zur3p3cLY176DJJ/t
0pqo7dpmbqTeCmiwys/bO2nW3WOSu+JYDnocCVckj8Ib0IVIpk1beNn13AeLagvRkth4wxgcZFad
kgIr2Q6ZijAeA+QMZQ+bfx3ro22WcTQzJYriKk7CrhuQEsXhMilNNAt6hXLW03u0Rn+YCjEGn7h9
sErDvu1Q5EOAR4OZstgWblIOODZ3CDPMfG+xq/GVi0srPsuC11twEG/GSaZi47djGrrDEDNgd8Zw
YWr9dTSN7EFLe/NR5DRSwPLo6bYZBXYz85Tfr71MdtBKrWum49Tnnif3DbRSJkuAob3UyD/XOn6x
SotCGcFignyVMRAo9yjxx0D2Szy8ZQYDzUt1QP5Bbp3aqvmEnRN4+RLpPLtccMKstaAGiyxGNCuM
fMKgUWiiz8hFK/0lzfRmBXuDMfzOtjX7Y53GdhkFcZU8CciAAJT8ePlhuZq8a/MyVvDdesCBsZ2G
jdXZ4/c07+cjmtoVTdLWzb4CIuoPHRYHFbBqXWfo5HZoRJru0TAkEPmaAmgDEtp0+QhT/CBdc3li
FqksEVYTyziSxexg+h61p7V2BS3MJa+cfdt71o1ZGdPNNCPWYVUl+NbVztZbK6sG45NJwoPBq72I
JLSD1gq+jLIWxwVlaWNfBjoAl7VOTBEts4FJ/aZMJCJ4ou8dbA/Ueyn2YrVwzcoh1fgPCPlS90ol
aBHzUZ4YpEPMXUb1stLjIFPl1opHEj9jXyN4Jg5+4VfLBwNGGtYQXjoaHxLPB8ageRJzhwknEyNW
wl4DVi4y01/yRSz4TIDJmzg0j43GqIGGpLnphGFC/OpRv1zi9ZY8L92gfolJ32rLEA+EBSgqw4wM
V88JQHcweJ/o0h8RWjGgySpZKa1E6tLO40/k6YhFlOMXE/k/WDCM1O0W/HXg/DSq6liPHXKPSR1p
qM6qQaG5VYD4PdG0vklMq75yWTYfK6vVju48FigjIghZCuEzSakUr769GlyQK4lmb10fzu0a+ze2
ofc3uEmDMRwrcSpT3JmxA01/2mNfRr5dV18y6dS3o1XgCTMqRl7QICIRpMPGQVPyQ+G33t4qh+aj
19nNLUN5wB6Fs+5XxrUKnajHn5Ny/lRIHJgXWSRH3GBQ3fC87qp1UyWW0cQ7b7a0DbZiSADk1ieB
9CnZN+7fXmLGoRuX9t6up2IDOM/YjDF9KUMONwKwgYAUQdsuX5zhoUzbu7HtgEnp67QZICtRiqXy
Q5yWPSnvIkl8gQc6FULJjklO1KEZOX6kg4QBsKdhwtn+GobsrgCsg3guXKdSSol8Ru99kJJdlvga
qE/+BKBEUT8xGmjx17Ae7JH1v6D16lTxz9JII2OogzvSNv1Xh1sTYb69bl1voEPu4vUa4DmEPe6L
V8vrgWn8VkwaX761KtSLCw6t2MDwrBwQdI0dZAGsUinmUsmuS9Of8lTzYBhWJe51zbydPA9g9+Ks
T5isGGGexytFvi0iVFGmGz8toBf42vQJsPonV8b5VelUHgSfcqTV0Hl7357tPeJw9T2WJf3e8Eos
s/HTvgUEN9i7pZqdA6LDqIXQ9R/w5TYtfWvbaHstpdA4FmJzecxy2WwWK55ugwAlWbfwij1Kpg7u
G91LKyxrpw+oVc5ubIWpgVYKHSIUUIqxunMCBhyJ7M2rGZjxc9P+P/bOY7lyLMuy/1JzeEGLQdUA
eArUTk2fwEgX0PoCF8DX9wIzstP9kUV25KjbrDPDLC3M0wlCXZx7zt5rV9VOpRHCyUs4O6ZQyXAY
VTrvesRKKNCFbYlWdn41ROKqPohweQX9Oz1po2UJdceKLxohvrVVm2C0VTX6RcpyP5FublWoeRKL
2J/K2bZZA56tQkJGHfHwW4139Y/u4u9IiePOg7pKVIA+AUF7lYkc6dryqO976gs7fHVXuqkOVzA3
xObvH4VKkaE2RhG6cUcb5DZZTComxwoZpWtA7TRYROvH6d84imUw1mS65ryZbNLY0pQGZGnYTCPB
gmr8fV6/hR8fhPr1j57aesFcG5UnqBqLbvTaxP2ttMwLlD0rkCSE41qCBJHinLdBnFfrB/jjQ8Ed
Oz4YuJRV+8VB1xGqsd693w5W112bQD9OQlfvR7GJNFnaG5HW82WPG+1O1hSqTV/jQZJGu5QUb2N1
W7XKTJ+10H6Q6+plZ8xjNG2bCwu1k25jYerWVxubjwaKXarSQUPvRLTakIKUKtBELQmtoXTl5QTp
A2hfvsj73jby6xm/okGUumeP1mmTLu75QpTtVeJSqZhtE4FozAxDYOAQ/QsOinULl9gPK54WLX0+
I/51IBv4KmnUOMQcDE1elPehlM68H/h4nwKtmnZFglFtMcaJctnxTsAfSd/VqRiNAq8pjUhx72VK
s7GJ2/K7gZEbm17ClwU7FuQqVob9g6JEEDXs14ieA1t6CwF8NshphIcajas9cncyGydMuodOhUp9
5pgQn8Hixz6zeeUnWtD5pO91MyzimpTdjkip6zy34UHXwros59646o0kvoENsV0Mkq/StLF8rVpW
M32m1ZelR/yTixvlEjG99VApjbEZDbcNBLFMO/Leez9WkVY0aiJ2RuzeJBaxoj1e8mw+HT3xTJDo
fkjwMulM7y6a7GUc6bcpMPhrjU6IxUgEZH/WXydqjsO05sIt6CyrYcUqMYODH68O6TMbe9weBTPP
wRlPhFJd63JIL5KoTLCJGPbVmCYHh4I9pGbIA1XYxX3nNHXkU+a34eIM7BLmph+3TYx9DtNR9ZjN
2BhVvXmBTWcFXWfibFww62s8m5et07IjiK3vDqKm6zphWUXvNlz0gv3ITnGTXglcWjtkdg2aGZ9U
I1iqH8VsNo9Mjuimu7njmXuAGGSuL82o88W1rOnBWyZt2HgwuZ9nsFpPIqIfcwM4Xq/4/Zx2BrgY
t0+aEScXbiOMizSp7BeZRc5qBmTuGFuG8kJTqMcQY4+wpjRhkbCnpox/HazdZWbfGIYivhvotPxc
98obvSJecOsg5dhbhUuKaTtYgByTjrzAwYNMxtz8m1W68bVqCvMcBh3lXisp4gYZb2xzSre2rbi3
LT1RkqEM+1nHj+lQK0yxdpDgxE9SEM0YbfHfqeRvKfm1rFopAwbisMDVjgRVWiWritakmuy3fMma
dselzCSJQLXJFpDh3wkKi/gCqJjH5dQzajqI59scndDXqumWx3Xy9HOo7eFAXS10vn8109+mhW+N
s46ca3eoDs0MUvlkcrHlbiGnVfe2hbtriXOTp8UeruPM8x6Hnh5bWpp0Vrsovl4UcJe+oXbVzTK0
0MOXhbvbptQdi1moJ7YrwZm1pgVKghSwsyQvxipgc20BaKEiTLpa+Fop21AxGCb70WiKm0KkzuMc
yV9mlLRrumG2UteL6jkxXbmVVmbt83yeviHjJGER5G+b+D3O5mds8OON1hTmYzQ5NnA2uPyNH/e6
C9YWr+uBJrLxbclBDlByKE+2SLPrVIu856Zvp1vNXLvczOdypn0kmPq030GcZ+pIBoIKrNXX6pxN
m7HY3wfbzA6NMgha3YzWpq015ANVU818KTAnMX9T3U6BmgpBxCd52vB8vYryU8XM2nNzcCQx4Pr4
Qy07LEqq6N0HmnudYL+lK8Yp4Rix8FNdjR/1Qc4Re/4pXWNCOkQUgq/FE63m8saSbk6YOy5VE4o3
cMLBpF9uRhUMG48625ej15+w6sGEUudxKmAVtoTOWpPUvwmnmfPDZMrkZc5q+msEz43nDTFTfqtH
+O2K3OmXU5cdlArKNibNhPVlh0DN+QH+WiOYwR5Okkzv8j0j7OUeh6nebDWhIRuPJ+Wu6q3kStiV
+1JPmrjB/Ms8Av1Tu+ZVTgVPQcxbWNYZcwq35SEJCE1Ysf6NFqZgDZAcTKWMfSHisvCZcMVXuIzA
wKmpckm2Aqu9oyaoa6elUH4J8kVxnpY6ea99r1oXi5fS70f/MJ63eGKflsQwYNKDp4CJorc/ZxGT
6dba8NVrNCmP1cSQi+6JE4NmMs1fejqOG8xERcvOOIXJ0abOtI2UMR/9Lsvbew1htAyUaiq3aM7c
2ucrKrde7s4JtV8/IQtIFnHad5l3yVzDu+b6VBdSaOwp7L57KlupbYm8q6oNo3u9CSaoSU+lqEXr
l64YuiBSUmurxXIKO4i+e6NkCdhk9LSYMqBri/2smepL+BDp5ZDq8aFVjN71pRkTRF+lVh8UTjGi
AclyoQdJatJCrjrh3eMv1dZsV+dOU7T5hV2qUQPITE3Tb8FIzjwKaUfTYprpyQvsmnMnH3VVvRkV
0d6Sptmm2wGZ4CUQGLW+GvMpOYyLbj1DCXD4o7kQF2msT2FrEQaAS6R/HFqj/zXFqltuCAtxb2oV
gydlYXw/y4JPUT46SVh2ZYLg3nGTUwKyqnzHNkc5j2ssELuhUaowoRnNdNFI7jrQwSdzZYiOkOlC
zfbeoIwtsRKuvCC7oLt0XBxQBXhN8Cbl5GMa6kPHHt0nCFzTTUe9NW00SAUhG2E73mmTUYTYdcpu
J9q53CwDTyc26bl2LluNUe0GxxHwQ3ckbbuVxvM4V10IvKS+ULV88qXnzDgSO1N6dAsaSrCEOUbs
e60yXSmdLImAseR3x4jFj7gpFNSdmVt2eJTHdT/COvFMs4J4RmJWnQD7DykklaITV2lJh7oom+9j
mZEazCUmDNXzmoxOyRrjtSnHnM1Ny4s9kwu8GBuCSNowWwZxS7h4poGPAbOPMNKo4n0M+MNHLdae
u4o57Zn3r6iJYXpsaiPKL0ultHmGu3XdbFJ1NojkYT1qBdPtq4ZB+kiMCxKt/dSaMwWGUy8gciiL
0Mzp9Rajh+RhLrzFb1oRf1+6xTjtXdJytjjSFvzIZZzHmxKRwikSzVaFVxnN84ksRiUO4WN1RMOY
9fyt8ajb1CEr76bWa39auXRDlY7Tg2XlyT2dp2H2R12Ve6kqWlhrzF5sm4bvXCVusGDQ/pVrcqbf
gcIan3xZEbvR9u64mQmjpQ9sKXu+Se2GcSS7dJWtdqk7NHHiOScDNHZIVsFWs1qAG+t28TREwjot
gtizTxwkULu5YOYMPWi5GadZvSCa2tzoSl77XtRPc5BOWX3d2170vV4arDVW194UZJo3m7jvh91Q
C4VugDDS64X+NZqapHgwPWW8oF883daNUyEdXXBMcq3Vy9RBjOtVTXTeF6p1MvLC385ibVIrxXyI
nQkYXTpVv2rXqS4tvbNueewphTPzRGMAFk5aJB5jMZqnpa0tpw7xvYfEMoYQIw/IFmFUez1v/d6x
bijKu684PNpTmCxIBQejPpCXbD+p3LmXyACIyg7X2o2p2ZFapOVnzVClV70zB2z/TB/LQxn7UqeL
1Ed6/Ms1k7sIffDBtJpt2RUGglzSumu6CNvZsLozsCVP3gjKqCVodO8lXrdlugzgw0aayITtwWPB
YhLVkELep981MsLXXhRcxo5QVewxvrT04URPwIbbsShOIzfTNwgG0iDWpuIbxoGKTCaaxJ7BHoGv
Q39A6yYOyD2cjSLcbMf59DsnNSH5guar+Xh+vI97Z8uIMA9NGguzwz9HQhS4M/mUKpUWlnAjwkbT
9/T8AYvQ/PzkSO/s5vnSqhgadJfO13EUgttYdQ9aSQ9NAk/P3X809FMDwuzfPyODabe6KhZc1zo6
o8hOp2RuFg0grnO7rAnK4IqNHQ1B9fTjIx1LWNj54h/1GHU7TIfwtf65AyZWRYsKeIYhY/yy+Sqx
oWHyJoxpJ6RO8Zv0uQoXZvRM5ZNzZHP4ZvfNFVQRXJmaCcjUPjq2wleTsPTaCXUindkurNV1WhGN
hKdeggqGhDCkYg+KEzGoTMqrYrDKZ/KZSGQQ1gBzMHbTQ8pQ9Q52Fw9k8VrHa681vfda30+vtX46
5vN3a528sB91L7PXHYEmauNALDDJSPindeSl68aBpqD9jKyJuJzcc0Ml0u8Ymg60PLoYpwwN7XyZ
LV/JCK9Gw8TuBH0SGxV33bOU6+4F8Ab/uu5oomQSydZd+BBn9UyrX5PsfdZdkLvuh4B0p5uuIY9G
bztazWtjO2DZUF5ICWY7Na07q2zdY3nrbktf912zMjdPpNOxGaMlx8as8cjsvbGtPn+y9KJ5thy0
70SHCWN6wCrIRSJh3roQCzvJvTTtGAWx1zaPXdTY1Q8lsUlvSqwh/iUMrIzUIfY+G3vxwvBXQr8b
Ta+/dN1Ks69yFSDMFtSXvB7nmr4FTCWBAGnks5SY472cdIvm/ax38a7MPJr6Bg229tm28LxszF6x
Hlo4E1fIxlgwbKN4dFsFC/3rlIBILO3FqaaqCnS6HQ/0ZBWAV8K40UepfO+SiA3j4MZ3jmoMDjSv
OH0UqbHavUfznNwkOpUghR7cLmZ9I8D4a1vbGdMgzK3beVHzU+A63caYa4P614gvJWCJQCDIvXac
cj7FPWOcD0VMFQcZfmdMxaNu1OpXoccn5PEw+lknKbTU5u/N63gF7yMfdgVHU7KVfBGum9dZTPw6
l6GxpdKTXKc1utk6P/CVu1eTlXfXS7xoD+o0Zj8LlHA+c0jrJIYKHlaxCmJngWlRjyRa5/PghGBy
o8/8+28mt1Rf7O4RQ6FkRu161PFqGsUdOrciEd56oETFhfPJa/12MV4PwH/NVwGNd9SKxApLpiCd
iZB9yLnNKJFA+TDjUn68br13HmTcsOpj3MSJf7RC9outpjEVXzhO03Comlrc5GqSQeY1wKSsU75q
nfeV3ZB8smK++QawImPTxPnK4RH8H61aSdLmlZXMMtQWVcOKq83ZwUhN75PDvLmO62GwMehEuqBd
89Y//6016dVtow2ZKkM26/mJvYxtOPXdxss+E1e9eyDH5T9MkhEcHB2Ii5iVc2ONYQKQEONuiR/Q
l7ZVP9BQluXm4/v25nuDEwSrxKpT4H8M96gf3tL8KzSnG8JkcpkW9pdR3/iMUggOIJhmyD9xab49
OQ4H8HVt7tIWP75ZyFaXmMV0CNHCtb4w6/NkKMJaxPcfn9bbhwLNM0IISjA2OuQ8/Hm3iJnTq6Qe
h7BknuDO3dYq509EjO+dynoQvteOC3/v6Lkri35QDRp9oUGrRoCwZTOdWjn+v7JVv398OscCOJy1
aNF0qqnV5IA+/c/T0RmiFGbkkKxTRSkRpJYy7OpRyc/jbGj7bWd2bvjxEd+c3TonATXLET1s9u76
3Pz2uC9zNGtW29lh1S5t0Dv5g+eQBiOcT+uON7dqPRIcWDDf6wNxnGTuEQC0xALv7FCbB8bMu9XY
/fHJvHsIgFy4j9aV4tgZP1dmPrRebIdJJ7rtbNstygr3k1CRtysgTwKPgU0JhyPTObpH8H5EoZS1
Gmqm2yO1d+uTbPZuhmXapxmtm6xsb1tVK7cfn9ubF5iCkdgx1+TLyRjGWIu6324U0gKeuXZQQ9Qg
9jbGiHQh6XbNB0kb6Tbr5sHcJpWiPHx82PVsftfur3UqqifuHOInQonWq/HbYSeqAtdakCwos9fF
QV7SFMKc2At/YDN9Nr3qgprRikjgsgX42mSaP3lE3ztzZE82UWw6b+Dx0qU3FuTT3J5Yh+2FVKUh
O5m80X6gtHkSfWp+h7LbHT4+7XdeC3d9BSnNWb5QXf152nJZHMJj8zlspRcrcPmYCOcpck68wtnN
x8d689I7q+YVKwzrCxpU52iBqW2JSTuXc2gbXX+SJvBLldkOyFTWgoXR+cdHe/fM2GR6fOS4pq/a
+t9uaJ82Q0kNP4eY1GZrX1tjAyYUR9puFNknD887d87Fpc9GB73aOlf88yqS4BeZvci5c1bsd4VK
0A9Ev7EOPj6ld177Pw5zJOJ1Iibnc5tNoZqk50gmggZ24seHeO+q/X4m65n+dtVcb4QwRi8iHL1z
ZaCqNd2zNN1+fJB3VhYUUHga2eWupqijV5zmosva2bLL9Zq1RARZYgOe3ParQm0ciwI2JW/5kEXF
J0d+5/T+OPLRIwhKyajXkUSoDcbJqBiHtPvkAr5zj9Ca4PICtckI/PhR6Pj8iFFWepjPKP0kW5pN
xobx738AKEzRaKIgckzzmFCBprNtba0zwl4osB7V6Osysq/++Da9dyq/H+RoSfSMrDWzeTTCCvvf
NxCvSrgYUf/JZ+adVQE6OyexcqYwL6y/xW9PXCyruatKWw9Ht1YCNFU0xCZFOe2GLAnWF+vfOavf
jrc+Ir8dj4AGfJQdx+tjp/FlowZOIpNP3tS3XxOE/cjzNIPCmgbE0WukUL/XHQORUKzySH0VSuav
mkmrbKo7aerVTWq6SIGqaeruEmmanxRzb+/dytRn27euSIZ1XC+yiYW8ZzRmuEZVPYlVlZlGij1/
cjHfLnxsxmgi4X7RNLwTR+9T49Vm0jMLDO3yShmGnT6Zn1zJt2/sn/vJoyPkll2CxuNE5rgrdnpb
7uKabObUnLtPjvTOJaNJtG6dybZBPnB8pIgJsKBXHi5Wt0I72z4BVGpU3//uW8VR+L7T4MNwgrnt
z+fPEQkxjg6HYZ8f0FDcD27zyd713TNZXyYKXT5Kxwi9uSvbpQZFEboduM/+Zeraz3bhnx1i/fPf
3qJMpehk8G6S/CSry2kc6hMrjq8/vlRvvxNcKYD4CM4hmb/Zg5t4xQlq5C2yvN1OxE80pD55ft87
Dd12aeogaUcEf7QYVOAZR2F3ZrisguIOZXHSMOr4+DTeeYTpQ1JYmkQk4WTU/7xWKuq6HOWLE3ox
NFHvss27s2b85J5/dpCjpxeCMVLbjIN0/PQyS+8SdQo8m8H7xyfz9p5AWcCMiRnB1fVX38DvN96Z
es2N3RyN1jwM+9SL3QBw07501ZchSnfs9dRt4hJq8vFh3y40HBZR2Nr1oVH66m/67Xnr1aEs1PWw
Y4RTGPclOCTWAkpbSYdEv0EQ6W4+PuTbK8ojYeNBcE2dJsnxeiDtcuw9QDvhnEXe+aTazZ3+KgVf
ReEfH+rtN5BDASLBHm2wATiuwltHkreTZ1ZoNh68pHRAdkjwm0PykN/Z0bj7+HDvXUwuoUbSzhrL
5R7VkZHH9pseL/cw2qQMaX58/OPfvlRrFti/fvzRChfLWekiwY9nLFwc6GACJkBj/28chA2wtXLV
eKeODjKoCQKabjBD9CehbjeGAQuY6fonH4U36BMoZggeUdeyBnG5Xp0qvz14aI+bCc4n35+mqWI/
6dL8wsTnetrMZb5vFJzd6MRmvGX4CeTqLDBWj0Emq4qeUMF0wRqSl371Ioxj63xyJ9+71JRNVJp0
u/h0rc/wb7+duSgK2QCI3FD+nfWK/mK5WfuPS/C37FTn6feu7utf4jUR/X+bo14jUf/1b7d1yT/H
/5f/O+1UfHhXw/l//jPV9Y2d6uI5fl4D8Y5cVH/9vb9cVNYX1kDinkweE55Fm6Vd/uzFf/2HZ3wh
Gx1PFAplUtbwLf7LRmV/Qe5AShB9qNeEWm7qX4F4uvWFthF0BEzftKrW4uCfv99fUuCPUmiRz3P7
/9XUoIWCYJfNwVoH2sRoHPvH85yoRqNfGMzHcXHRmF09hlk/9hftqlkZItCQjSalP+sI8zSZLxuJ
wGprkQ6xNcVwZ+MI2hXGjJTByVZBdK/VkH9TFTOT1wdId2JUfAMkNABm1pVdqdmpUMsL4lox5bfe
ctXY7ISJ4SnOZyj2WBiSOwsxAwoLzzpAbysDvIZkf8/WbdcliT8Msry0hxg+iZyH6LaRUleIW5uR
cPbO0labpOIH+7okkiiwUUDhXsXkHvRpNE57tSSlgYBSs35Cj9emm3aM66214FkCg+0+QbM76QvB
wFF3rwdHgQEuqmA27E1TzRhghFNtUrXA+FiSBWfENPBK9PnDYFxjKjtLmu4m6hwX/7Uq/HGyMFTQ
vlxoYpIuQyKnAbAas2w2B1pSnvaLOZ5GXX3mpA2XKJ0Zu6OglFUKHmvo5m1plbXfSjv+noyWRPkn
zZ2CQgY8JDG49Zzlfot0YWenqvcUYRk/zYpEhVQAGOsiTbvyIjHn6CxlbkncCaIjtTyr8Z1tLAj8
+1adiueJbcp55vaaP/XuPrNgtyGmWvX8uM2U7CYGD0SenAfCaFgxVzMsdZmb49exs0p0AAYmnWYo
btw2QqJi5A9DnpxMGn+mE752YIiV+JZZkp0SfR0gLtnomreZiH6VxkRmRg18KB5xY2SJUz85qVbs
x9xjp4/NRyzZdG7XZbrVCxuMd+8uXlB7hXaJS4VZvj4emiGC+F2iwpRLt5NKDuAuWpPWZQhrf2NF
VdiVQx0MVsbfz8VVVkVBnlovUt6Jfhz3ShIx0JALnpMMd4LfavFtxJDssk7LelcberxdUIv4qLOv
3ERHnioa44xdbw8jjZW+Evs1NnyjjLG6JXBDDaZsRR7o83IR3RPslZyTk3hiKDnko0SW6g/NrX4J
EzgHxdcOgtRmcrG2zdltXmTkvQ0eUR9N48N6Yt67ZAdlHr4qujXive6nuyFdLMbVzq4eDDg9DWJk
vtXxoazj5AbXOHHkI3Gss4Mo0ix20zS7gZC8Xp7E7KaN3wprQe0b4eXBek+SnsDZi3WXH4qE+tYo
62sjb83Ep04dNlmZzDdqES3IL3vR7PHkx5cT9AE537eu0u2XzK6uZKcoAYDVc6JukShKroP7lGPs
iYv5gqgPRsXDRECs7M6URb2ep+SWaro75a5lKhbuOqrv8+oGrWzDOuIZB8tpimAmjwprxtZNwXHw
+HcX86ie5ZYc/WWcz+t2pg+q3s1DjgjciwX6Hv0a4nTYqgo9tka9I9wiDUjbtTD+8DTuqqTqA4Tp
2r5FJF9Z2rOJ/u5ULfoFgfxZmVw2eXGymEtYLtrB0wcWNNHaTyPiPZUVLN2apNDdeHa1i4uhJSMp
BegTzMM8VDBvO+Js+sWzeNXpOfY718NL4AOzziTiEwh4G6KX7DLQYqObgdsk5XhROZkbqFZr4RN3
vH7Z6N5keQdcKZhjqqWPmwfKjo6XycobAaTEyMWhjrsxPtMLFdBh3aPT8QfhjgPGp4pcFvZyINTU
WIF74ibJHG8o59qYnJrV5InQelERu0NKZ0nLajjiwrg0lFE/d+PJ+jopjrYrPIMZC977637pLLQf
S1SqmCuTotgqnQZfIspqD99AE72sgA60Eh6zfvZHS6JsqcQHoPzI04rAGUf1cSkokOjgVhrfiTnL
vGDqtFYD0ir061y0XJeq/epE8wKeMZNbtZ8bLAbVoQedy3RE3InxzF5gL8WRek4R1pybJIL4OmgK
dFEG2sIujQLVITtci9A5ELg1bcq6kT49WYCBY/YNp7/czZn8rlVGG7gdFk1v1q8ilH4XpGfpAXrN
l9R5wUbkncw68Ua2M+sb4n/kmVGDdScYee8k9VdMX9dso7zNVLhXWgRKLSkdm5xzxB1Dazqnwp7s
Q1FHQBRT44TIs2skxTkZT5pxpvBEbtWl+V70tbLeIwSec0M2USKveMjuFq1JSUiQSdgPy4jZuF5O
EalIf8IJcq+56kyzsJ1/ebUW2wGpAY0R9J1QMxg2KQHjr/XM3yrs3i/ZfjfA//f/We23/1lfPJc/
+/83qj/KtRWB8T9Xf+cpHZLn8qj4++uv/VX8GV+orVb9FJCZtc/7V+VHFLJjEM7KIZjhvHJp/4pC
1k3+BnwR/gONg1YTm+t/Vn7aF/BYFGkqM3+eWtv+O5UfvPijyo9aFOUTA0/w0kBGjoeQBsOcWquj
8TD0bXKuawlgS6Rl1wVun7jDbxeNW2k7p43WYP/rqsZnwwlNsm99zWKmt2T5gAHAuXE1ca4bCL8h
1nwbl2nGo3uuuDWWHZIhsewZv/qpyy8te6Qtp6VeczW4UOkYkxXfnD597g1F28H5sx4TG1dl5cQC
2yrB9GlfbdAuvbSe1Kiwphc9auIYQ7JlX7cZBO9EgqZoy8c+FleVPQCPdJIYjwhpgkO+TQSSKfjR
9i++bFEIZKd46LxB3QohywsX2RHYopCwJhiCprzpe+Pc8HKSeeatVi+E0egoiNpq+mVXGl+jBqt0
IpvHSEHEaeaSREahYkkqnfQsapbTSc9PK9LMtlIMzyXRMZt6wviJA8XYOpZINroJW4uK67FRHHlV
9xQkatqWm0iNcp+kCzLTyOGpwaiP9Us+aGCVxvzMGfNTQheJxuqR5Bp2uytkXW4z/Munw1hv6hS6
cpulSUBe0TUgeLCjeankQZyJA8gsEx6O1d27yRX5GLcQtduADrfP5uPKrOVXxOCbOJoeBMjmQ65o
3XnGSnKiJt2vsiw3Wm3uCnW5R9R9GPXC70QiKYW0vPGNejB9jzi67TgoN12M9LkwXdTMyMAvu+IZ
8td3ezRZIpExm7F+mTE5usrAD3GviSTT63LX6NI5Y8UF+eOAV9VMKTdLpF7GpI5sU60LMXOEnYvb
Ke1MtHAZ99uY03Ej6mRNgBrXvIfIDFIr0fxe7+1NiaQoThJvW8Cw2kgyV33SsBjhp631dcjjbzBZ
ZUA4J7+1eqLOw1M75w/57JR70XBgkP5lZlwvTqpfz6Zy7blxOJUwaBDeYup0zWAy11QggrL8sRTE
b5FIAflw2kW4y/1Z04sNmS+7hq4MThxnxMKD/U5JFXmCuiy5iKDvsp1yorPCxmyrZ8qdjiRszdQk
YYnQEH1O6qCJuxezpKrQjPoONJ/mJ0I+OXknf2KEqgjRM3+qXXTW9vopUMrhZsEe5BO7RESoYroB
qTfddpzaUGD+3eIZuUpH8lExCl+YKuoulEs/KuRF+74Y8Ae3g4/j/lc75l8J+0MM3smBXUoVtDXP
Jj59ESDDb31asdkBGQiMm7reNMO0zxqH2Fb7R962D6WVXLNh6317AOTa8wDucO9o512L2Urp9PLE
TZPtyM+xJQgNbQg152xCzZ66XbHtpVeyE3C2taNeUrXynHX4NQKr8x7dbNrM9RC0c3K1lHjoNEUc
gBQ8yHjvpaXyktQ6HFfT67SrsiJthzqEZFDlvHLZJpCaecn89yQpfll4r9m3gu9N1EtFxZmE2xxC
KJr+LVsiZup69CyzK+HN0I+Jt2M8B69M13yrca6JQnaDbuqItY2Ss9Qe550wsWr4tlZi+VUTlkpA
1enPeELHWXfbgacRToMOF1veIy/ZOqMS6PG5kSjtrhzZVSxdUM9OgDHokodwjf4kvsFa7hfIudet
ZhBhl/A6pACNhmvTmsowluq1RFoKdi+9KZuaBFc14a3Tcn/oky3eEjvolRzNM/S0rnfcnSLMX02m
WpyreDZKTzmlBibutZSB0UtUKNfInsK4anp/iuyTuhse43o2MTklY3InjLLNArEY6r5OM6LO+lJl
xdG1/l52pfrozoMA+ZsW+sNsOXABS2bqTym4UUQSRp7tARDEm6V0x62eEqhqDUu9KYjVhCdI5W4M
WvOr4VU7zAr94b1JO6w+gHhacJFikNyBWXAwUYjXH40IuQycEp8Zv6riVHA2qiQJ+rqGmtjpbNV5
e/Vsr8ZerGHqUSrpkyyW4dg0CoBVDT3kdjdoaQmCuFVyIxhLUBxUz9EVrpvl0HuDu4KI65eZPSZ8
7pl8vKy9Nar61GoT94AifrmSaiXwlYOf9hVXtc6NwfO2pjZrfDXauLh2pa2csTWMqS/z9DYedefZ
UPo8XfftPRsA4e3TTiuHfTG75p0cIms/Dk10EQ9zSqjQ+OiN7MQwdfbFKUQBa8fnGluu2j1XnrSu
ljydxZnjsY30ibBvtqY9uI8ujkC/UlP7MOmtjkNQy9PHsYqUWw3RLgyVIS0Ow2Lmlw1hVODnpfHN
IkGHZD/sUdvMMq0wNqwCSxUKgDtSMHr2HTScD00+p+eFV/8w86y5zXVl2fY5UaUY50x/mTolrKNh
ea5t8DJs1cua2L0nKzcf3FGDvaDV+mbOq1/TiPa/wIhIjIUgcE9xnZUBGCs/uODFjWxxMQRoBPtt
pozwCWtvaw9my8NNouKybsV7pc3vPKgQWkRAiQDZuKsVLd2YSQHDyjai6oXmhZBkFANVJw+bJmwA
GUe/dETWPGfJzPSu6PtbvbQivJcWz3xeRvaVpsfFpaucTLoZNftiVb5rqIcfDAwUwTRl5beW7TRh
z7xdnTEpCcGYw3CD2ToA/IJfbPDU8TJWo2uNDZVfG0UDjLI0lisiEDTt0h4rTGsGQYtNV+fb19Io
mWeNKJvxR8MIrp3SieiZmP5bN7X3jdsDDHFAAeV4nqTOJyDwsvjx/xf4lQB6eTs3P//rP55/lCnt
uB7Z+ndxVKmvbVqG8h8U+D9jUFnP8/P7f/GvEl//gl5w7cUyiAShs4IB/1Hlu94XV2M6BA1rHWn9
UeXbX8hfR0rFvAAtkL0qa/9Z5Vtf1lAAdC+kP3mkbfyt/i66qT+qfAdS4eoRWRWNqGlWRfSf7f8h
SgRTP8c+dF5Hgae3qMdIruSV9TUvTX5MeVGcsGGdmhDswnDDGubGW1tq2bLDhm/ctVkG7EX8L/bO
qzdyJEqzf6UxD/s0FOgNFjPAML1sypsXIuXoPYPu1++hTLdUXdVOvUAtsPlWJYnJjAxG3Lj3u+cz
sZgtIGT0bkokA+y0a/pylUqBdunUbJFe18l0lklAoDQjM7WZBTicsE/XI2fN6mxDhh/ssjiUpbzf
DODpkXT6gU9zJJq92rDIr8DbbWZCKNKFQ0RyYAtL3ADyRgIR2c5CkZN4Vmb2mQzrnDZ7+XgY8tYF
8FHiHVC31UNJ3zRNDFqdluQ3fP9QjnCrJJGsjIdGUBfYEeskkGuRwBcdk3RtiSo9KdVQXXuGjRWt
MWrrAT36Gsn8hGofeng8yWCedoHmXNg5dgWdEndHBQbgs2hIWxfBnEybUlq4cKxoHAjMmdrqanHV
5nYnzjyECJZb1vmZ4kiFPeuKcMCXGcS3fKiSYvD3u6xrT9GD0pDpZ7nuH5ZhE3Urj0gQI5ku8WFj
ZWXvz2vFo+nEl7QMT5k8atqlrwz1gJE0vIDTUQFcclL5tpmdKnAMOLHJJVLAOKLQtgkwXhk3gr7/
aN9rO4eQKCITuBCCzoil1gbJDcbBxMd0KzbqUhlRA9JXCbRvpuJtNbjaWLdi6Zl1u7IaOXiU88K3
ZmmROqusEsqVgVlIBZvR9yfg+7Pj9AdC6sqtmtnqYV4NBXlvWVpLvd3e0H3Wu2B4tvBGTbzlu4b2
3z51jrSqm6dDGZ6SJqd8IGOMmQNuR2dh0ARY61n9qBEyrXNVCsJV2I6hMk9yuZyDbLAvSLKBLhis
3BzmadjY5zDchkP80SGW9qExLRLJeYMz8FxotA/TAxasAJ3m+7KV0a9aO/5CDu19cu5Tt4YyXng0
0C7bMjf2TTPS3CCSVnQIc0KwxSzO6/p80PH/DRSzPpF8xaOy1/kp3WocimBqYBKb54GVumXK/69y
qUsOyQfYEGvIlw9pkh5WpU7IRgdfeMFsFQc5JSKI+GpOCg/v4gg9S9wVLhvrHEqV6SaFLzZ+28Un
ju21t3DEJI/0uafUM1/tB58O077HikLiDEWlhK6/1LrqwzA9LYd8ldNZuigdjnJphFsbzS3dorKt
4jwVeItZgYgY92hYmZFf3k6BxSaRRnFUNMNTLgQivGJQ04Xdew2nxChampUlxZxkO/O8ywk0KGfE
1l0x0Bq+kFNT30z9nmSfezEPIUgtTEkVC6MtxVIuq3IFjolTWG9QZlC0eJn0ERifyk/WiSPty2DK
WGFScv+GLG48uea4UPvJ1kcTuF8XESexIXAIi0tvp3ctQcP/3xb/+rY4YbR/vC3Od+ku+4Wy5y80
Lv9+a5z++HVrtNQ9NBEwjWAsm7LxYWu05D22RNJcU0lax8KT+uZ7Akze4yc8CKhHQP3jRvvb1ijv
aYAZkDQiuqCVj8ahv1H6dCi8fqh8ck8I33QVITXNIOTiZN7oY2EcU2KsZjJFX+BK/Cws89iqjFVh
OheRx3IlR6DfBkpereRd0Od+WozmrVX5K+HcBZ1I6Nr1D7xgvIqFuUICslQkaREdYi6033QGvNuE
VHV7hCfrVanSEdv4y2I0VtFYreVilgfeQk+KA6WaEbcvzY6/xScviao1bayb2NROzco4JoO36kr9
VPcUnDrcyXix94PlUDi49ZTntlScjz1Wn2y3OjmDGLRP0tyPyfngE82nAE16JCJ6d2QVNo3A6aFS
6MeZ3l8VGljLJtvyeC2KYVglqYn1dgO91rsYsc+d255+UZv+uuqik9TTAScGDuUzo1qPHuWXyE9O
G99aa0VN57XR3jWVcwEM4ybSGTJf1leaZ244Xi0gZD5IjUaCPz3UWYE+zLy3evZHtNW3PmyvX+Kk
y6eNB1eMb6WhA6T1OpAlHSPQcg5Z4sVtxe/KE2MYTqyKs3QQxLN4tBYSpsYt38wf38C3/HVop0RY
2OyQTaXEr31rLUOhmbBADb0FFtd4r4aH9LYte5myTzsYdGoG6onuxeZKeOOU+rpqs1A7NBRD2qSm
FrqW+zSQWFmOZmXiRa+FS0vx0oWXj/QTVGtwK9QNbF/ayA0962PNImkk6XxF0yrdiBU2ZthOLjrM
37CeN9lyPGPtOeRveuiDIJ+oSNTqw0ADPlmw8VTI4WqsASDz7F1rpXrgWf2RHYkD8GTlPv1e/msL
2d8qIPy16sAPf+snFIdYuP5iJCQj3SCHjnp2Crt/vGIe7h53cfBxqfzuBV5XTZtVjtVPm3rGdDTi
09r4eqBgPUVMJ7MwTs2TyB5/XTQ1a0+26AZE5cSJAbHib+cJTUVlQlO1IrNyovJlAv+NRdOe6g8f
Vk1pUovqpMpezAE/yoiShlNs3ATrpLNS8ic0vEEmwVh5Zhcph3PNyaAOSJm9ElPrhtwY1j5xbiDc
1myi464YQehlNhiuucXMvjIkD1yUYw9XRZQ6+gxHgKxYVjhtJi64JOcsLaL61IplvcfSAe2gq1kj
SQqXAgAuD0WreIsaYn7u1hO2/L61W6nYtHmuH9WoBPeTXul2rTdk90UQG1O/WFSs8jSjkIpJqzMh
DmpTXneIVO8I1nCh1HKnH1aD3MjUFZOEZkcqdB6d4EOgR3NRKFG5H9lmeEpIb+AvPlYlQadIzwU2
ooDQBaVvkkXmrQo6ddv3yiDN+laNW6iP1D+XKo1eJFaMQL4t8QPXgBVIVKcdFDhnfRa2uWtEWvsQ
GVK/70QpXAeBXNaYLGhLoH3nqhGJa2rMxpZTV3pmpawqJPYc0qDFuGrlPgNcY5JWbtk2SJaCiNd8
s5+r7C72suWoI1xfFcED+We+RymppyS5arY0PsbdeFBIpvbcIZGhDO+PT2GXcr7x/KK8HdVYP3HE
wJaIpA5eewrT5dLSJ+6MEGmzDUgRHVPW7TvqAWxzrgBkuYqTkPJ0RMR6CZtfuio5b4Kc7Sz5EioY
3j2OSep9EQIQ3dpmoN7TnF6uqhF+mqJC5nR72a/J5prwKeEwptYiLTznIKIAfhhlAVnkUquytRWV
IeTztHQqdJ5Zc5fqsVTNDV3UTz6N+xdGmyNgqvUGYJXdSPbM8oR9lJOgJ3DOsySZN7T3ruIyqp0T
wxHAgJohyug5dDCrcgcpycOjbgTB4XI8yfVFBLVFI2U8Wk+w2z19HiQlyHrC0mJcmJgPKDPJQWnr
NkZV3MHICm4AqeGKnkLwOEnhr7ZQf+HLMRhJ2q0hQQoq+17Vi1mopyHjR0XFnmm8UT8PjSE4M5Aq
0VXOlnyT1pr3HJJ2H/arRPWeYs9s1mj6hPJQAGdIESCaSgtIyMMAnPdq8qVVaQEIn0RVDoUTZJ7r
JYm9CbquhnEV9FT0IXzM5TDl3xRRpENFCslR0bTq3On5OJIOD1qT03wPQi7qhvQS8Iv+COUzvO39
2LNdHLmtYp6FYEAVGdeCSEbuMtOVrNsUAUVzjk8IJVyI7yYQlaxM0DzkcYOzgeOL5eDIA34742A/
OS2NF/O4dpB9WIlB2rZvrFNZePWmRWsG7icV/TkGWPW9Uxn1dQQ78Vjvx3FpiLrJ52nQk86lxtOe
Ugepr7sKGGFldPnBOColcGM6GRc9EGLTDVsqnIicmtCV8mAyyYIgs6CfER72GLXF9UAj+UGmxEaw
wJ0J6HeEaoxciN8DXvG0kZJAlnZuInconAIDlQlt5+bCrPP2wRlxqOZwJyxn1gxjc5TEyXBmOpAl
J7VL4S0SY+hXOAMYK2hm8sai7y1zVb7G28qJx0foUr65UBt5OOI4JB0JKptHDjUthCyYtp11aRGe
t61EjjppTWUjd1jd6rVXnYV2157UvmoCRO4yLBNykd1Mh9FFOyIBqj0PdDJop3Cm4W68jOIuAReG
jhmrZ5mK06jb0V0WdvlJlFTGoi79CRHd9xvhVeOjgCtnY6sc5AqEtlyzXKogfPciLgINzzi/uC0Q
mN1aiq92+1NLNFi43qrAXcnNJd8OyCZ58JUTLe3qGZSPctiXgJXR8G3XmrPKbaxMvJDOsplca5x/
vSTK7xOSUxeNLpiEpSwoIhDjRXcUJ4sbo+zgMZVlBZlZFXpjLHVzVMFl4xOe0b0LfG2lFnJxVUdK
FJ+pdp6Crxw0Fh0C1XKuSZmsHgTRIHdzjqekq62wmWRqxQCeUk06lL2VDAwSU7WiOvLHEHlZlzlD
PAcH7BxXpZXc94EfPAdSRU2slsn3q1VNjiEhM4Q3aYyqrvToVYIzaS3oMkZ65WdWuNahNyLxyst+
X29LJEra4CVwRlpznBltkgL3yhvgU5GKC6zi1/4cQ41+24GwxdtlkOJVC693oyCwRDYlEmqT0Bz6
JYTb6FCrFMmYqXmjceLQAjDEJ5XoRwTKyHgLF8zTeDhEQMNFmmYTsFOXya+ZaXRvgRdYgJI66Pqw
E26UCP4KDGF5WuRWfa0ldgdkkogDXnFjkFDDDGnCUUJZ9JGT7vPYTK375FoiV2/qNY3eq6bGGYKC
RHKb2JWDRGY6ccS4jbpB5iT7gdYBGVaiCixQWHuG7LLsZKxDhrSqlDPN7k9VBcER8JTxMWE3YKMO
m4skS+wDbEh7tGKePSNF1JxlnmifdTafFRwubZ/+5Z1VdeZE+0rWY6eRBG3q+lLrDQ3wtgEhG1ET
vG5QCE8Ip7x2Rkbe2QpF0ZZx0gnEm5Zd7FOZSBfmEAriawXOs4a4EuFjGPWH6JKaQ+w25bnTevFR
YrCQL5B3l6gdegppM/QX4AUaU4Gig6uYsqppk44wDS3jzRiSHcRhIAE43GmHoPiig9EJ9QMRCLvE
oFDUN3D+nHltZPYDLlYQV8xML0/0NLHPcDqw1lHT4CGkF57nqr2kPjpMmLlXK9lpGaFnKGGG6os0
RqoqG01xKVMhWnWCrz93yuAmJW8zyTgxfcIly5ddxYqs4wwC7IMSNhwQqZfnM7NqiumUZ8zGpmwu
SrWuH+BbFluT5PFRVkWoDLs48o9rowbAnVugXgw5pJaZgM4l5lKtu3TUkL3mEyzH1CfRGike/4lm
y4AzpoSmUhRWOktgzwGtLRqFDZTU022rDxZ109I+l3StRaApe/6tJccQaf2w7e8kM5DugENXoRs1
EYdbJzJXgV1YJ5zdtH2n7+Jn7rfaQvsa7p1R4AUxFgOI0j5EJei2ld1cOEOXIkGtIU/ONT8E1m9y
hDy1gc0trcHorka0OUurzNKdQ8995RZUz0hc1l7XIIxpMrhTpUYxmlXvUPH9htUh9KrTsNKQxeWk
znGBHhNWKjXvm2RRCPoE9q1IEvlKwIr3NgUqLh8ZXW8mS6DdynFdFPq1anWt74KHjYdl2KYtIl3c
asCUq5V9EPrWmM5AsNbNnLRuFQBdlUdtJtTSdGbe0FW3XRNW0RxzUDmfhWPiHYUIy1FoNyYKMyVz
xlmuhs3ODyw2tQ4eyFncWox/bQsdf9s0Emu1T5MrXQ/Ks6JMIGZWnIfOokF35q3S+jOJ7oiDEKEe
AHshP4VKaVPoMupMXbDvZiyAqsAqN7Yr45ySKgKAcCAkcLuqDrKFH+L6O1ckjjBbChUtedTW0NdW
oqIviGMdQg000amIz1YxGcnVhYcmJ/X9WQ//aGViSn6WJGpRzkens0eEoIn+HKWSY8zhOCmXjiEN
u9CW5EfbToRY593ITo4bT4OTWx9liJ1FiXN7EkUFmpEGja6e+M+qn4dnzYiZz+AUSrgkxgS+rNvh
YrTy6lTgczWvLDz8lKy2zeVA1BbN9V5RAY2TPLflSZRqmrW3c7pSPZMzQgzUAAFoqSp1jGTRFya+
F54P1pI680iMJqqNM/LBEbfiBSJ5Wb+oQGBXrs6+PGdmCwVOuJzvNOhJKoatfrLw2qkPsVD7bS4n
yGyh0HSqK9OwD5+ywgfeS8tg64Gc22ixDR5fTqF+DmZtYXrXqiU2Y1oHLMrikv5lFOrcE03DxVXR
WXY9Lx0vec4TpDCVhiMEoQ7K8QTe+VwCYz63RM+XXPXSutEq6uGeVvgzD4YitEO/kknINM1CjDJz
sQhjwzVkv9gFiVQdxPBUCfBBya6lRnGeBx3x58qTUvIR5OOki1ZquQogYSrSFmxBtnbFVFek1719
1JrVw5A4BM0jGukzdm50FxriggPby7NN0cjIk3oMhleyVIsZTTXwotlDFn6FJaSpBsAcs8gaN3qE
SkRCNrpwcviKYqgFYo9G30eyId8QB2BOFzsZXquhJvHQJABAO2/0XAcHI/icfjjvkcGd5fokeElp
4cNhmTKUiww8PLXo61so4LF8dDOOcSCnKuGUEXsLGN33xKnOSuaZXOSiqRfY7fh3eJQ09wOqPUrj
MGsxiFbjO7/OrVOgTTUNAnoa7Xe5lKxGKU3Rbzf9Rd972wFW6y0FsuDUCCueS7VHIuSZRr9vl223
1ovEPzDNImbczXDfDhKHmrYVwjyIZfW6rEb4I1jkmFOEnsLElyEbuTRkk/Zv/IhoFkTxvcESsw4J
S1E3YxB61GWJYBJpHI4rfIBdVYK7P/e1EbpNLgii5TTML1Cl20tCOHMLvFE/18dc2yCBkNC/oYvr
YL4NLvYt7UUpFTRYsvKqG9xX7YXVt8EFj553G5jqyNLmiYLlEVgQFbwWPmaS0UeSAaXc17wAxjXJ
3sotbRueFMSS+MiQNFjIYQAlWh172/WyKEKXVvrD3JAxQgxkAFe4lQz13BNRcz6oSXgpEtFuHQm0
Nc+uslWCynmizbdeVk7kpa6JOEvCUEdXrlWENkeJEkcbozSjI0uWmx6hMbmMtGG9CoVQaQux02iT
ZAK1QJamlPXKFLa61G/UwizmGEn0B1LCh40tLuJ6UkYts/Fzc2Ekmriu2OoC3q1MlpBJuaZMDctT
E/uiCQRd/YMoED0BCDWX9AbCeNfU/ihHDzFZb3UkPHUryC4UkLJLE1OIba6rzxaHQXZlUIz1vBdS
czjovUUWW0cuFsd2dpb0endlsinzXY5lbi8RGTaPMCuH2X9yOE8KD0D8WsPhwm2Squ/nshlB9B6H
wDgZ2VLEPHEiuf6/U5H5f0hjTAWC+APEkapPxQxgEH9Sdnmsdi9ll6ntrPplvWufkvCX/5nqMD+q
yHz3Ld6KMxp9afii04cA9AgMwa99aS/FGYUaC5CnSbYwOUx/KM7oZB4dfsBtkwD9WJyRsd/henyc
6ZJ/y95L+daN8DWxrzKpFVOnQcL5RrfAcamLfHPUF153ic/ckXOhLDGl1GZEeSj98R6l5iLXZ9pl
BnEWg57osi7DZZhee30zB2QwszGkluP0jogeSDMa/drFQM+yMWQhqPDqdBPY90NP9qbwIzqbrkV3
Ryi0kMjhoSw91wrgHOpwogXVUpNwuXqu+lmy9syLVj32HwPkPJlxiIWMm3VHSOYAUzyTrMJQVkV4
6IYKhhtRkwLgV45ZHudDJ80SiDbpFArCsUVHGi053vD4VMtIafwpMj7ugzuCMiL87l52ssu6kU9p
1Q/mhHq2a2govWoLTnz20CQnpt2ywrQxdPUIg1BWT1jIbkWq31K3SkTnVjJuNK1ayoO6lvR0P5bN
ZGamh1pPoZnw8qQWcEdKv5oLqldmJG8TgBN9gVoOCsqTAW57lpX6rUztm69p0eb+gkYb8iDdUq/j
5aAPs6rpsbmqEPTVR7jCbBtQLSRHHmLLRPnEveK5bLiFolKKHi5zaVyqqbPw0YW4EWlrNzA5fZik
gVDthls/RUdeOjVSTjs8LmvkHP2fcC84p33KYb8+FDApaNqlNImO/pu5Fbdy3Ye55Cz6Mb2sGinH
QKbe9i3OMh0rr4qkILHM/SbO0IGdGGm/MhT9oEltMR9krXXTumV3xfbQRE4XS/IyFN0SXLjnCk/b
am1O2ds413RjUg4SRGnhQZkdyEJfVUV2oAzUCu0FGxf05fHUSIK1bVGLV5zjhq+wGMJnvTLOjPhW
Ypg9VnG6+JZ+hAUR9mjErfOymwQc9aHtWHO1z+d+Ja1xC99WRrVsNX07yM6hqftH/TCFuOkqDZqL
qMBTUzGpu+/ryp1JBpLunP3SHI9l8AwkwPzStXA9cB1mZTxky6KllpUdWWWykjyOaql9nzbDOklg
RHZArwl4cC0Q4+HYNwucvnYA/Jao2lzEobgdvRz9lGGf5eJaVf3jKLtQq+oId691rXQXWX83RkZ/
UADfpqdJsW5LTxOuhBJFwswyKBSECEyRztSXiumsyfQ+yj332GKU5dP26RLpGbTiaeKg7KgKmOPd
hxLNd0qLKnWWD5WO11lCY6xGuwXYcyA6n+vDYw5MoOoyb2Hm8ZMviWuP4fMq5a7knIW34L5iVWel
Fx+PAt1fXZEY7em4xCktrnFvKC061ZxoHtXFphqdk0BNWbuas9p26FBt4m0UtJh1Z38yuykRfXPf
lNrJYdLYgVrTmTxkP993zSGN6kjkIR6sgLeqdCDRsDnizoAjHwL+xCClFpCRYV0sfHMtpSxSpSKw
rVj2JFbKgHSgJZHFr8punBWWxZz1VVRLIYIpvH9VMzlGgn/OwrrSkn4bRuIc/7DLUZuo3+qjb/Tn
qU4grNnNPA8wPPBCqjqV2eRkXm2WxlZ9lklv4LPUSIfkAbFEGAuMFIvuLGjbbWeLg8L0fNIR2VHQ
Yhpqms5daY2Kq8XtBa6wJ5jUja4wiudMioKFoRUXXSM9g+BNZnZoPptScl6b0Q1cmFUFBmtpKM8F
GaEAQZeTcQd+ualqlKs22dnAuOpSZQUnwnGt6r4LpM0Q0lGYdgt6Yn25m8ktvSgxBi9wvjusVICt
05jbHMkSWGwCZBdV8RyN2loCaO8GQlxTTL8sZZIImX4zxuWlH/YnsHLHeTsdWtCuQ06alb68Nsrs
3Ai6teyj3G2iB08uzpOg2ReqNuegQu3IQDJkb/1M3tDOtu10e04AeJ4qKucVrIKE7CwcBQsy31j6
gbzkqz/EQWzR4ahj9uE1aeg1ucFFQxOCQS45P2yw5IJ3tmycBPOA0FXqm2g8n0QEcWjPA3HgFPGG
LtnriiFcDRxyqE0oSw7dKzvGzWs609O494wwfdY35lbI+rysotsyxVbCqaNsrdKZOBs1hLtk/Zvr
KLVOc1oeiTpLzAkoxjhFu+XAjGIP/bKkPod2uvEk51ona+pJ+SMV72UhxmwqaB9mPIYcuPJtU8Zr
daS4kKNa6syz2I8OdHWYOkZMWpaNYSZRd/ekZu7kAp/pbu75dBAl8U2kdmut79epCCibU6YAzJ5e
akF249fGYV9pVwDHqJaYN8ZYXvSpaBbM6k3pWc+jqh14IjAXmGiiwVImjwzTot9yGObo7ZKFoY+H
sc+uZWIIVBJeWJW802vOdWpXneXasItLxFixaG7IqdJWm5mkYpxhW+nNZTva+61VkPmVSb/Hm1g1
rkxLwVxG6VETRhdKbd4IVRzIfX+f9iNtFFkyVxJtLXX9vJflbWr689jwrlJ6BO0KizndOaP94siP
b0eO9zlqNccLjus2PNXScUGUfkUp9HkMcYhhxPreOe8H7Votw1XejBvaMs88LHRi+9kZ5bueCh7i
sqUinIdIV+dhCjXaN4wzz3lKOTRaqN6l48o+LpRjQzvJxBnism0lpajsCtfU4DSrbhPZlyk+fDFR
Rz7iYAe2uC2oTEZPyNjRMnD+qW8s56IjmRz2OoYez9QK54p6K/xzy09Xpl3Ru3Aqkbvw6+4sFyrT
RTqK5LNeDafK0aHsJa414AjFHhWiPqusJT3nizhEPxkBnDZPlO7BMQr8FbWbRpCbGXiuY/WGNqi0
x3Y1OZV92n1ZK69LD5MkgWbQD++7ul6m4hnWP3JH577XtGSJyem9VJiQ4eiYCpXHtovQrToBR7vc
mQ8lpUvD6eYUfN3Gye1NRIbVhV9eAxRPr8IBdEKvDvojHTFUJKHSUEWxlx2dnkaVXQR+ac3HSLlw
Yuk2H4ZrzLkuxj7ajh6uEW1BzVjLqEmQYsSxILGzhWVy6IIo95CLcWWP1pra0VRsrGayTTjlBxTM
9BK0goxDKHr9NOp2jUk4TH+V2XnKTOCuOZrWfdqCKumCJzo6LvAiKGZlpK6jiAbivCY0wdozXniT
jeJkzh215N8pghX0AhKoQxXQnjEKmkXKym/MfR1fdCWvjpAwsvrq9MAbCHablY3sBLcKHOYrHRMV
vTOkOfX+cE6xVJrVutMskhjrjP8MRk66liBMKwxnG6uRTAlJXIRyelONPurGPIiZDd6ZFij7jE24
gFrT0q6A1iW3rGYGHlO4Mv33rp6a5y/Rwd/StXy/MfYLcpW3d584I4sXtd6peKqGsycEyc2vVI/p
p9s8zJqL/J/90rv84/sX+uXpg06QCZM10x34YZ591K+8xNSfBC8vt/Ryv390hWSHNl88osxX0aUY
KsdE+ISvr//4Jckz/+3HljNp/UyLgx+tsLxeW3E/jNCPxuCPP97rYP7x73z6AH/SQaATXf2Vcfjm
Mh/GwcYWG2kOsp7XD0oS4OM4WHuKgmgH/4XXUfr5xgH5pK3qUyrgawOh7aGhI7dgv00ITmUfBsI2
9gwT2ZVKVvTlRbjO+/1EE0Il3CYW/9ogyHsG0jJdR/f1+vo8CPqejtm5DjDodbKg8/q5BgGcNYmk
r42BsWfy2KOBpD19en1+IpgI5J2QiUyC3p/rwytvj8K3YsAfrI0/XhOUPZWsBHwjDp7fGQF1D/QL
1rHyTzcCFqA1deJxf20GqHu06AMut94eAtaWD0uBpexBqpJhmoHBe3n9dBNBwz/2q4PgAPrC3EHn
Gf/44c09DSSYTlfX69z4CTcEVfnqE6Doe5iE6PAwv/sEWOaewhrBCvG2V7yuuz/RZsA+Zb4uzoBS
/Kf812Dr9yHSD5cBRdmTWVJkElCfp4C9B0xu6hJ8Heaf6GNj2DjZJnzt6deQOQP9hpryvdXPsvcm
zxUaQd4iop/uu6ebRP3q0684e/iuyHRuvu30nzfB6QGQbeDAVIVfXj9dIMDaLH81GtJoE8JXx3Am
dOfHNdDY0xW6hxz6Pl5eP90UmCprX/30qrlnYIamalgivr4+D4K2NzUtTXj818fkp5sCrF2gxVmj
v7ggKNYeK8HUDf3NOujskZefwqS3p4Af/1wBIQzkqeH6a8vhxAKlr0hhI3h5fV4JaBehx5yj9Pux
6ad7Ft6j4q8OBKsBxz/abkj2v7x+NxvYETXOj29Py0/3PNDSo3w1JlCnpx69AO0+n1YD29pzLNZc
/T2b8jc+/V+IH37NPuEgnDy+5J3Cp/p76akf/cJ7yuX3P39Lt2we/+s/prTSp1+cKA6v7/1bWuq/
PwVMLxmADz98zwi8vM/bn799wN+/9af3ev9U7/+5Dp+qXfUQDC8/GN5ucyLY/dd/oLoIUGNsq93j
Ux18yowBm37/93cZFL8uBn94/br+TJab+q6+flk3DHbV+2WmAX89rv82fL8jZvylu13vqmGX7T5e
GEHHdAL68pXDdPcAhOO7I027Jdm3r77F/i5NxS//a5cW//uXg10dkBZ/v+jLlCQ/yZL61Xc52FUZ
idv48yBhvvAvfKsHzNPkmwvjUPX1mz7cxXWwe+yenor3i70MydRi+P4f/3yOH+0eg+H7z9DrKeKr
Y37yGHL77zc63flbiu6rF96KR/EQPFXV8OniODco7//xz4dlK7Jod/9+nZe7fg2lv3rXZ7toh3x5
9ymR/xaofvXa52Ech59QmMgmpuPpVy98sUvD5Jfj3aN4v9Y0Im+n669e/LJpENJ9ZxF/i9u+ev3r
p7r5xX3KoMR/uvvXOOCrVz/asZizYDXVpzn+dvr86tVXIuLqzcf7/jW59+Vr55/ueLquOTUUf/W6
7Mq/KiGPw4f8nm93U0+E/vr94tPsIXEEd+JfWNT/pxLZj7cnZO7Ki7bsqx/rj0GzH8p1nwKjD8eO
P4o0Lio6iD7PIO5bttB4vo/ZP1/L5rvvaVbfrzt9Fy/vhc70/f/++Xv9iRnDF4fpaJdN4/R+m2+3
PiHE/oVhOvoT0NgX733+lATh7+98Kl1+dWr+UHnM98rgvLBgvnj3M3asxxDF8+cw+/X6/8K8weN8
1zRh/bt3+K2Y89VRetlnIEDwQd6H/GUCvb3DvxBL7bMV/PD6/8J55OKJVdT/Nsb/Lb/z1RH6q4SM
L86l769H/0RD/4c38r3z5q+l6t+fQt81Cd/7s89H7Ok3HpKnXfXf/wcAAP//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602026</xdr:colOff>
      <xdr:row>2</xdr:row>
      <xdr:rowOff>12700</xdr:rowOff>
    </xdr:from>
    <xdr:to>
      <xdr:col>18</xdr:col>
      <xdr:colOff>130061</xdr:colOff>
      <xdr:row>25</xdr:row>
      <xdr:rowOff>107109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8F1533-C81C-158E-4EAA-900442CD8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265338</xdr:colOff>
      <xdr:row>1</xdr:row>
      <xdr:rowOff>0</xdr:rowOff>
    </xdr:from>
    <xdr:to>
      <xdr:col>20</xdr:col>
      <xdr:colOff>105834</xdr:colOff>
      <xdr:row>21</xdr:row>
      <xdr:rowOff>90714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4D3F27-B613-4D20-0E83-847A736AC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439964</xdr:colOff>
      <xdr:row>2</xdr:row>
      <xdr:rowOff>66222</xdr:rowOff>
    </xdr:from>
    <xdr:to>
      <xdr:col>11</xdr:col>
      <xdr:colOff>337099</xdr:colOff>
      <xdr:row>19</xdr:row>
      <xdr:rowOff>117593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EB4FB8-3C1F-108A-B9F5-95BF3E8F8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15118</xdr:colOff>
      <xdr:row>1</xdr:row>
      <xdr:rowOff>155424</xdr:rowOff>
    </xdr:from>
    <xdr:to>
      <xdr:col>14</xdr:col>
      <xdr:colOff>128511</xdr:colOff>
      <xdr:row>17</xdr:row>
      <xdr:rowOff>158750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B526A432-A95B-A57A-8A3A-59C21128D6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23468" y="358624"/>
              <a:ext cx="6818993" cy="32545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340177</xdr:colOff>
      <xdr:row>2</xdr:row>
      <xdr:rowOff>68036</xdr:rowOff>
    </xdr:from>
    <xdr:to>
      <xdr:col>20</xdr:col>
      <xdr:colOff>204106</xdr:colOff>
      <xdr:row>21</xdr:row>
      <xdr:rowOff>22678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03B890-C882-B408-B2F7-C6C6458CD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264822</xdr:colOff>
      <xdr:row>2</xdr:row>
      <xdr:rowOff>0</xdr:rowOff>
    </xdr:from>
    <xdr:to>
      <xdr:col>15</xdr:col>
      <xdr:colOff>447386</xdr:colOff>
      <xdr:row>18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C8F76A-B4DE-7426-671B-3BCFB46DE3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932405</xdr:colOff>
      <xdr:row>0</xdr:row>
      <xdr:rowOff>179729</xdr:rowOff>
    </xdr:from>
    <xdr:to>
      <xdr:col>14</xdr:col>
      <xdr:colOff>160760</xdr:colOff>
      <xdr:row>24</xdr:row>
      <xdr:rowOff>72342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DD2A3F-3D76-FBAE-6A83-CAB90D8F2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8819</xdr:colOff>
      <xdr:row>1</xdr:row>
      <xdr:rowOff>70557</xdr:rowOff>
    </xdr:from>
    <xdr:to>
      <xdr:col>15</xdr:col>
      <xdr:colOff>35277</xdr:colOff>
      <xdr:row>62</xdr:row>
      <xdr:rowOff>52917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F52DEC-698F-DC94-9E6E-3F501353F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0</xdr:row>
      <xdr:rowOff>177800</xdr:rowOff>
    </xdr:from>
    <xdr:to>
      <xdr:col>10</xdr:col>
      <xdr:colOff>114300</xdr:colOff>
      <xdr:row>15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9C15E-D225-0B5D-33D9-AC61BAC45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387350</xdr:colOff>
      <xdr:row>0</xdr:row>
      <xdr:rowOff>168275</xdr:rowOff>
    </xdr:from>
    <xdr:to>
      <xdr:col>11</xdr:col>
      <xdr:colOff>82550</xdr:colOff>
      <xdr:row>15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6D02FE-95D6-AB08-D6F2-1AFD13886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374650</xdr:colOff>
      <xdr:row>1</xdr:row>
      <xdr:rowOff>9525</xdr:rowOff>
    </xdr:from>
    <xdr:to>
      <xdr:col>8</xdr:col>
      <xdr:colOff>190500</xdr:colOff>
      <xdr:row>15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F3A27A-AEE5-5CAF-6E44-170D58366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151375</xdr:colOff>
      <xdr:row>0</xdr:row>
      <xdr:rowOff>183830</xdr:rowOff>
    </xdr:from>
    <xdr:to>
      <xdr:col>12</xdr:col>
      <xdr:colOff>173182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C5661D-9A54-AC79-54E0-F3FAB9F28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107950</xdr:colOff>
      <xdr:row>3</xdr:row>
      <xdr:rowOff>12700</xdr:rowOff>
    </xdr:from>
    <xdr:to>
      <xdr:col>11</xdr:col>
      <xdr:colOff>412750</xdr:colOff>
      <xdr:row>17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A038D9-2476-48B0-EF32-9B0ACB773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403225</xdr:colOff>
      <xdr:row>2</xdr:row>
      <xdr:rowOff>85725</xdr:rowOff>
    </xdr:from>
    <xdr:to>
      <xdr:col>11</xdr:col>
      <xdr:colOff>98425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79F483-5F8B-6EA6-233E-31706CBB9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sh" refreshedDate="45763.890303125001" createdVersion="8" refreshedVersion="8" minRefreshableVersion="3" recordCount="54" xr:uid="{D3D841D3-46F6-4B42-9D38-52B76D6DBEE6}">
  <cacheSource type="worksheet">
    <worksheetSource ref="A1:C55" sheet="heatmap"/>
  </cacheSource>
  <cacheFields count="4">
    <cacheField name="Reciever's Location" numFmtId="0">
      <sharedItems/>
    </cacheField>
    <cacheField name="No. of parcels sent" numFmtId="0">
      <sharedItems containsSemiMixedTypes="0" containsString="0" containsNumber="1" containsInteger="1" minValue="1" maxValue="59"/>
    </cacheField>
    <cacheField name="State" numFmtId="0">
      <sharedItems count="17">
        <s v="Uttar Pradesh"/>
        <s v="Rajasthan"/>
        <s v="Punjab"/>
        <s v="Gujarat"/>
        <s v="Karnataka"/>
        <s v="Chhattisgarh"/>
        <s v="Madhya Pradesh"/>
        <s v="Tamil Nadu"/>
        <s v="Uttarakhand"/>
        <s v="Delhi (UT)"/>
        <s v="Haryana"/>
        <s v="Bihar"/>
        <s v="Telangana"/>
        <s v="West Bengal"/>
        <s v="Maharashtra"/>
        <s v="Jharkhand"/>
        <s v="Odisha"/>
      </sharedItems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sh" refreshedDate="45766.416170949073" createdVersion="8" refreshedVersion="8" minRefreshableVersion="3" recordCount="225" xr:uid="{2DBA4393-8309-4BF3-8053-FE56F8E83A50}">
  <cacheSource type="worksheet">
    <worksheetSource ref="A1:O226" sheet="original_data"/>
  </cacheSource>
  <cacheFields count="15">
    <cacheField name="Date of Transaction" numFmtId="14">
      <sharedItems containsSemiMixedTypes="0" containsNonDate="0" containsDate="1" containsString="0" minDate="2024-10-01T00:00:00" maxDate="2024-10-31T00:00:00"/>
    </cacheField>
    <cacheField name="Month of Transaction" numFmtId="14">
      <sharedItems/>
    </cacheField>
    <cacheField name="Tracking Number" numFmtId="0">
      <sharedItems/>
    </cacheField>
    <cacheField name="Service Type" numFmtId="0">
      <sharedItems count="2">
        <s v="Express"/>
        <s v="Standard"/>
      </sharedItems>
    </cacheField>
    <cacheField name="Status" numFmtId="0">
      <sharedItems/>
    </cacheField>
    <cacheField name="Transaction Amount" numFmtId="164">
      <sharedItems containsSemiMixedTypes="0" containsString="0" containsNumber="1" containsInteger="1" minValue="70" maxValue="1540"/>
    </cacheField>
    <cacheField name="Sender's Location" numFmtId="0">
      <sharedItems/>
    </cacheField>
    <cacheField name="Receiver's Location" numFmtId="0">
      <sharedItems count="54">
        <s v="Hyderabad"/>
        <s v="Delhi"/>
        <s v="Ghaziabad"/>
        <s v="Noida"/>
        <s v="Lucknow"/>
        <s v="Forbesganj"/>
        <s v="Agra"/>
        <s v="Mumbai"/>
        <s v="Baharaich"/>
        <s v="Bangalore"/>
        <s v="Pune"/>
        <s v="Madurai"/>
        <s v="Allahabad"/>
        <s v="Ankleshwar"/>
        <s v="Jalandhar"/>
        <s v="Dehradun"/>
        <s v="Kolkata"/>
        <s v="Bulandeshwar"/>
        <s v="Ranchi"/>
        <s v="Trichy"/>
        <s v="Banda"/>
        <s v="Moga"/>
        <s v="Jhansi"/>
        <s v="Gurgaon"/>
        <s v="Rayagada"/>
        <s v="Phagwara"/>
        <s v="Alwar"/>
        <s v="Hardoi"/>
        <s v="Kannauj"/>
        <s v="Surat"/>
        <s v="Shahjahanpur"/>
        <s v="Chennai"/>
        <s v="Bijnor"/>
        <s v="Varanasi"/>
        <s v="Jodhpur"/>
        <s v="Jabalpur"/>
        <s v="Bhopal"/>
        <s v="Bilaspur"/>
        <s v="Katpadi"/>
        <s v="Faridabad"/>
        <s v="Udupi"/>
        <s v="Patna"/>
        <s v="Amritsar"/>
        <s v="Aligarh"/>
        <s v="Indore"/>
        <s v="Erode"/>
        <s v="Sikar"/>
        <s v="Sahibabad"/>
        <s v="Nagpur"/>
        <s v="Bhilai"/>
        <s v="Auraiya"/>
        <s v="Jhajjar"/>
        <s v="Gorakhpur"/>
        <s v="Lucnkow" u="1"/>
      </sharedItems>
    </cacheField>
    <cacheField name="Parcel weight" numFmtId="0">
      <sharedItems count="2">
        <s v="Less than 5 kgs"/>
        <s v="More than 5 kgs"/>
      </sharedItems>
    </cacheField>
    <cacheField name="Parcel type" numFmtId="0">
      <sharedItems/>
    </cacheField>
    <cacheField name="Date of Delivery" numFmtId="14">
      <sharedItems containsSemiMixedTypes="0" containsNonDate="0" containsDate="1" containsString="0" minDate="2024-10-03T00:00:00" maxDate="2024-11-05T00:00:00"/>
    </cacheField>
    <cacheField name="Date of Return" numFmtId="0">
      <sharedItems containsDate="1" containsMixedTypes="1" minDate="2024-11-08T00:00:00" maxDate="2024-11-15T00:00:00"/>
    </cacheField>
    <cacheField name="Delivery Time(Days)" numFmtId="0">
      <sharedItems containsMixedTypes="1" containsNumber="1" containsInteger="1" minValue="0" maxValue="12"/>
    </cacheField>
    <cacheField name="Average deivery Time(Days)" numFmtId="1">
      <sharedItems containsString="0" containsBlank="1" containsNumber="1" minValue="1" maxValue="12"/>
    </cacheField>
    <cacheField name="On Time/Delayed" numFmtId="0">
      <sharedItems containsBlank="1" count="3">
        <s v="On Time"/>
        <s v="Delay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sh" refreshedDate="45766.457982754633" createdVersion="8" refreshedVersion="8" minRefreshableVersion="3" recordCount="226" xr:uid="{86EDA44C-119F-4D8D-9D1D-7AEEA4BB7A0A}">
  <cacheSource type="worksheet">
    <worksheetSource ref="P1:P1048576" sheet="original_data"/>
  </cacheSource>
  <cacheFields count="1">
    <cacheField name="Weekday" numFmtId="0">
      <sharedItems containsBlank="1" count="8">
        <s v="Tuesday"/>
        <s v="Thursday"/>
        <s v="Friday"/>
        <s v="Saturday"/>
        <s v="Sunday"/>
        <s v="Monday"/>
        <s v="Wednesda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sh" refreshedDate="45775.770310763888" createdVersion="8" refreshedVersion="8" minRefreshableVersion="3" recordCount="225" xr:uid="{BBDDE627-02EC-4CE1-A89C-BC5B15B96E93}">
  <cacheSource type="worksheet">
    <worksheetSource ref="A1:F226" sheet="original_data"/>
  </cacheSource>
  <cacheFields count="6">
    <cacheField name="Date of Transaction" numFmtId="14">
      <sharedItems containsSemiMixedTypes="0" containsNonDate="0" containsDate="1" containsString="0" minDate="2024-10-01T00:00:00" maxDate="2024-10-31T00:00:00" count="25">
        <d v="2024-10-01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8T00:00:00"/>
        <d v="2024-10-19T00:00:00"/>
        <d v="2024-10-21T00:00:00"/>
        <d v="2024-10-22T00:00:00"/>
        <d v="2024-10-23T00:00:00"/>
        <d v="2024-10-24T00:00:00"/>
        <d v="2024-10-25T00:00:00"/>
        <d v="2024-10-26T00:00:00"/>
        <d v="2024-10-28T00:00:00"/>
        <d v="2024-10-30T00:00:00"/>
      </sharedItems>
    </cacheField>
    <cacheField name="Month of Transaction" numFmtId="14">
      <sharedItems/>
    </cacheField>
    <cacheField name="Tracking Number" numFmtId="0">
      <sharedItems/>
    </cacheField>
    <cacheField name="Service Type" numFmtId="0">
      <sharedItems/>
    </cacheField>
    <cacheField name="Status" numFmtId="0">
      <sharedItems/>
    </cacheField>
    <cacheField name="Transaction Amount" numFmtId="164">
      <sharedItems containsSemiMixedTypes="0" containsString="0" containsNumber="1" containsInteger="1" minValue="70" maxValue="15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sh" refreshedDate="45778.499566087965" createdVersion="8" refreshedVersion="8" minRefreshableVersion="3" recordCount="225" xr:uid="{64D26663-D0DD-49DB-A705-BBD7B210057D}">
  <cacheSource type="worksheet">
    <worksheetSource ref="A1:P226" sheet="original_data"/>
  </cacheSource>
  <cacheFields count="16">
    <cacheField name="Date of Transaction" numFmtId="14">
      <sharedItems containsSemiMixedTypes="0" containsNonDate="0" containsDate="1" containsString="0" minDate="2024-10-01T00:00:00" maxDate="2024-10-31T00:00:00"/>
    </cacheField>
    <cacheField name="Month of Transaction" numFmtId="14">
      <sharedItems/>
    </cacheField>
    <cacheField name="Tracking Number" numFmtId="0">
      <sharedItems/>
    </cacheField>
    <cacheField name="Service Type" numFmtId="0">
      <sharedItems/>
    </cacheField>
    <cacheField name="Status" numFmtId="0">
      <sharedItems/>
    </cacheField>
    <cacheField name="Transaction Amount" numFmtId="164">
      <sharedItems containsSemiMixedTypes="0" containsString="0" containsNumber="1" containsInteger="1" minValue="70" maxValue="1540"/>
    </cacheField>
    <cacheField name="Sender's Location" numFmtId="0">
      <sharedItems/>
    </cacheField>
    <cacheField name="Receiver's Location" numFmtId="0">
      <sharedItems count="53">
        <s v="Hyderabad"/>
        <s v="Delhi"/>
        <s v="Ghaziabad"/>
        <s v="Noida"/>
        <s v="Lucknow"/>
        <s v="Forbesganj"/>
        <s v="Agra"/>
        <s v="Mumbai"/>
        <s v="Baharaich"/>
        <s v="Bangalore"/>
        <s v="Pune"/>
        <s v="Madurai"/>
        <s v="Allahabad"/>
        <s v="Ankleshwar"/>
        <s v="Jalandhar"/>
        <s v="Dehradun"/>
        <s v="Kolkata"/>
        <s v="Bulandeshwar"/>
        <s v="Ranchi"/>
        <s v="Trichy"/>
        <s v="Banda"/>
        <s v="Moga"/>
        <s v="Jhansi"/>
        <s v="Gurgaon"/>
        <s v="Rayagada"/>
        <s v="Phagwara"/>
        <s v="Alwar"/>
        <s v="Hardoi"/>
        <s v="Kannauj"/>
        <s v="Surat"/>
        <s v="Shahjahanpur"/>
        <s v="Chennai"/>
        <s v="Bijnor"/>
        <s v="Varanasi"/>
        <s v="Jodhpur"/>
        <s v="Jabalpur"/>
        <s v="Bhopal"/>
        <s v="Bilaspur"/>
        <s v="Katpadi"/>
        <s v="Faridabad"/>
        <s v="Udupi"/>
        <s v="Patna"/>
        <s v="Amritsar"/>
        <s v="Aligarh"/>
        <s v="Indore"/>
        <s v="Erode"/>
        <s v="Sikar"/>
        <s v="Sahibabad"/>
        <s v="Nagpur"/>
        <s v="Bhilai"/>
        <s v="Auraiya"/>
        <s v="Jhajjar"/>
        <s v="Gorakhpur"/>
      </sharedItems>
    </cacheField>
    <cacheField name="Parcel weight" numFmtId="0">
      <sharedItems/>
    </cacheField>
    <cacheField name="Parcel type" numFmtId="0">
      <sharedItems/>
    </cacheField>
    <cacheField name="Date of Delivery" numFmtId="14">
      <sharedItems containsSemiMixedTypes="0" containsNonDate="0" containsDate="1" containsString="0" minDate="2024-10-03T00:00:00" maxDate="2024-11-05T00:00:00"/>
    </cacheField>
    <cacheField name="Date of Return" numFmtId="0">
      <sharedItems containsDate="1" containsMixedTypes="1" minDate="2024-11-08T00:00:00" maxDate="2024-11-15T00:00:00"/>
    </cacheField>
    <cacheField name="Delivery Time(Days)" numFmtId="0">
      <sharedItems containsMixedTypes="1" containsNumber="1" containsInteger="1" minValue="0" maxValue="12"/>
    </cacheField>
    <cacheField name="Average deivery Time(Days)" numFmtId="1">
      <sharedItems containsString="0" containsBlank="1" containsNumber="1" minValue="1" maxValue="12"/>
    </cacheField>
    <cacheField name="On Time/Delayed" numFmtId="0">
      <sharedItems containsBlank="1"/>
    </cacheField>
    <cacheField name="Weekda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vish" refreshedDate="46036.929827430555" createdVersion="8" refreshedVersion="8" minRefreshableVersion="3" recordCount="226" xr:uid="{3393DC2C-C553-4973-9BFD-2414AB0A5DD8}">
  <cacheSource type="worksheet">
    <worksheetSource ref="A1:L1048576" sheet="original_data"/>
  </cacheSource>
  <cacheFields count="12">
    <cacheField name="Date of Transaction" numFmtId="0">
      <sharedItems containsNonDate="0" containsDate="1" containsString="0" containsBlank="1" minDate="2024-10-01T00:00:00" maxDate="2024-10-31T00:00:00"/>
    </cacheField>
    <cacheField name="Month of Transaction" numFmtId="0">
      <sharedItems containsBlank="1" count="2">
        <s v="October-2024"/>
        <m/>
      </sharedItems>
    </cacheField>
    <cacheField name="Tracking Number" numFmtId="0">
      <sharedItems containsBlank="1"/>
    </cacheField>
    <cacheField name="Service Type" numFmtId="0">
      <sharedItems containsBlank="1"/>
    </cacheField>
    <cacheField name="Status" numFmtId="0">
      <sharedItems containsBlank="1"/>
    </cacheField>
    <cacheField name="Transaction Amount" numFmtId="164">
      <sharedItems containsString="0" containsBlank="1" containsNumber="1" containsInteger="1" minValue="70" maxValue="1540"/>
    </cacheField>
    <cacheField name="Sender's Location" numFmtId="0">
      <sharedItems containsBlank="1"/>
    </cacheField>
    <cacheField name="Receiver's Location" numFmtId="0">
      <sharedItems containsBlank="1" count="55">
        <s v="Hyderabad"/>
        <s v="Delhi"/>
        <s v="Ghaziabad"/>
        <s v="Noida"/>
        <s v="Lucknow"/>
        <s v="Forbesganj"/>
        <s v="Agra"/>
        <s v="Mumbai"/>
        <s v="Baharaich"/>
        <s v="Bangalore"/>
        <s v="Pune"/>
        <s v="Madurai"/>
        <s v="Allahabad"/>
        <s v="Ankleshwar"/>
        <s v="Jalandhar"/>
        <s v="Dehradun"/>
        <s v="Kolkata"/>
        <s v="Bulandeshwar"/>
        <s v="Ranchi"/>
        <s v="Trichy"/>
        <s v="Banda"/>
        <s v="Moga"/>
        <s v="Jhansi"/>
        <s v="Gurgaon"/>
        <s v="Rayagada"/>
        <s v="Phagwara"/>
        <s v="Alwar"/>
        <s v="Hardoi"/>
        <s v="Kannauj"/>
        <s v="Surat"/>
        <s v="Shahjahanpur"/>
        <s v="Chennai"/>
        <s v="Bijnor"/>
        <s v="Varanasi"/>
        <s v="Jodhpur"/>
        <s v="Jabalpur"/>
        <s v="Bhopal"/>
        <s v="Bilaspur"/>
        <s v="Katpadi"/>
        <s v="Faridabad"/>
        <s v="Udupi"/>
        <s v="Patna"/>
        <s v="Amritsar"/>
        <s v="Aligarh"/>
        <s v="Indore"/>
        <s v="Erode"/>
        <s v="Sikar"/>
        <s v="Sahibabad"/>
        <s v="Nagpur"/>
        <s v="Bhilai"/>
        <s v="Auraiya"/>
        <s v="Jhajjar"/>
        <s v="Gorakhpur"/>
        <m/>
        <s v="Lucnkow" u="1"/>
      </sharedItems>
    </cacheField>
    <cacheField name="Parcel weight" numFmtId="0">
      <sharedItems containsBlank="1"/>
    </cacheField>
    <cacheField name="Parcel type" numFmtId="0">
      <sharedItems containsBlank="1"/>
    </cacheField>
    <cacheField name="Date of Delivery" numFmtId="0">
      <sharedItems containsNonDate="0" containsDate="1" containsString="0" containsBlank="1" minDate="2024-10-03T00:00:00" maxDate="2024-11-05T00:00:00"/>
    </cacheField>
    <cacheField name="Date of Return" numFmtId="0">
      <sharedItems containsDate="1" containsBlank="1" containsMixedTypes="1" minDate="2024-11-08T00:00:00" maxDate="2024-11-1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vish" refreshedDate="46036.929828935186" createdVersion="8" refreshedVersion="8" minRefreshableVersion="3" recordCount="225" xr:uid="{35FF6E0C-B23B-4983-AD9C-247A3D4F8948}">
  <cacheSource type="worksheet">
    <worksheetSource ref="A1:L226" sheet="original_data"/>
  </cacheSource>
  <cacheFields count="12">
    <cacheField name="Date of Transaction" numFmtId="14">
      <sharedItems containsSemiMixedTypes="0" containsNonDate="0" containsDate="1" containsString="0" minDate="2024-10-01T00:00:00" maxDate="2024-10-31T00:00:00"/>
    </cacheField>
    <cacheField name="Month of Transaction" numFmtId="14">
      <sharedItems/>
    </cacheField>
    <cacheField name="Tracking Number" numFmtId="0">
      <sharedItems/>
    </cacheField>
    <cacheField name="Service Type" numFmtId="0">
      <sharedItems count="2">
        <s v="Express"/>
        <s v="Standard"/>
      </sharedItems>
    </cacheField>
    <cacheField name="Status" numFmtId="0">
      <sharedItems count="2">
        <s v="Delivered"/>
        <s v="Returned"/>
      </sharedItems>
    </cacheField>
    <cacheField name="Transaction Amount" numFmtId="164">
      <sharedItems containsSemiMixedTypes="0" containsString="0" containsNumber="1" containsInteger="1" minValue="70" maxValue="1540"/>
    </cacheField>
    <cacheField name="Sender's Location" numFmtId="0">
      <sharedItems/>
    </cacheField>
    <cacheField name="Receiver's Location" numFmtId="0">
      <sharedItems count="54">
        <s v="Hyderabad"/>
        <s v="Delhi"/>
        <s v="Ghaziabad"/>
        <s v="Noida"/>
        <s v="Lucknow"/>
        <s v="Forbesganj"/>
        <s v="Agra"/>
        <s v="Mumbai"/>
        <s v="Baharaich"/>
        <s v="Bangalore"/>
        <s v="Pune"/>
        <s v="Madurai"/>
        <s v="Allahabad"/>
        <s v="Ankleshwar"/>
        <s v="Jalandhar"/>
        <s v="Dehradun"/>
        <s v="Kolkata"/>
        <s v="Bulandeshwar"/>
        <s v="Ranchi"/>
        <s v="Trichy"/>
        <s v="Banda"/>
        <s v="Moga"/>
        <s v="Jhansi"/>
        <s v="Gurgaon"/>
        <s v="Rayagada"/>
        <s v="Phagwara"/>
        <s v="Alwar"/>
        <s v="Hardoi"/>
        <s v="Kannauj"/>
        <s v="Surat"/>
        <s v="Shahjahanpur"/>
        <s v="Chennai"/>
        <s v="Bijnor"/>
        <s v="Varanasi"/>
        <s v="Jodhpur"/>
        <s v="Jabalpur"/>
        <s v="Bhopal"/>
        <s v="Bilaspur"/>
        <s v="Katpadi"/>
        <s v="Faridabad"/>
        <s v="Udupi"/>
        <s v="Patna"/>
        <s v="Amritsar"/>
        <s v="Aligarh"/>
        <s v="Indore"/>
        <s v="Erode"/>
        <s v="Sikar"/>
        <s v="Sahibabad"/>
        <s v="Nagpur"/>
        <s v="Bhilai"/>
        <s v="Auraiya"/>
        <s v="Jhajjar"/>
        <s v="Gorakhpur"/>
        <s v="Lucnkow" u="1"/>
      </sharedItems>
    </cacheField>
    <cacheField name="Parcel weight" numFmtId="0">
      <sharedItems/>
    </cacheField>
    <cacheField name="Parcel type" numFmtId="0">
      <sharedItems count="18">
        <s v="N.A."/>
        <s v="Eatables"/>
        <s v="Clothes"/>
        <s v="Passport"/>
        <s v="Hair Kit"/>
        <s v="Original Degree"/>
        <s v="Curtains"/>
        <s v="Earphones"/>
        <s v="Jadi Booti"/>
        <s v="Documents"/>
        <s v="Pooja Accessories"/>
        <s v="Cake Topper"/>
        <s v="Swab"/>
        <s v="Wallet"/>
        <s v="Contact Lenses"/>
        <s v="Empty Box"/>
        <s v="Cup"/>
        <s v="Gift"/>
      </sharedItems>
    </cacheField>
    <cacheField name="Date of Delivery" numFmtId="14">
      <sharedItems containsSemiMixedTypes="0" containsNonDate="0" containsDate="1" containsString="0" minDate="2024-10-03T00:00:00" maxDate="2024-11-05T00:00:00"/>
    </cacheField>
    <cacheField name="Date of Return" numFmtId="0">
      <sharedItems containsDate="1" containsMixedTypes="1" minDate="2024-11-08T00:00:00" maxDate="2024-11-1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s v="Agra"/>
    <n v="2"/>
    <x v="0"/>
    <s v="India"/>
  </r>
  <r>
    <s v="Aligarh"/>
    <n v="1"/>
    <x v="0"/>
    <s v="India"/>
  </r>
  <r>
    <s v="Allahabad"/>
    <n v="4"/>
    <x v="0"/>
    <s v="India"/>
  </r>
  <r>
    <s v="Alwar"/>
    <n v="1"/>
    <x v="1"/>
    <s v="India"/>
  </r>
  <r>
    <s v="Amritsar"/>
    <n v="1"/>
    <x v="2"/>
    <s v="India"/>
  </r>
  <r>
    <s v="Ankleshwar"/>
    <n v="1"/>
    <x v="3"/>
    <s v="India"/>
  </r>
  <r>
    <s v="Auraiya"/>
    <n v="1"/>
    <x v="0"/>
    <s v="India"/>
  </r>
  <r>
    <s v="Baharaich"/>
    <n v="1"/>
    <x v="0"/>
    <s v="India"/>
  </r>
  <r>
    <s v="Banda"/>
    <n v="1"/>
    <x v="0"/>
    <s v="India"/>
  </r>
  <r>
    <s v="Bangalore"/>
    <n v="27"/>
    <x v="4"/>
    <s v="India"/>
  </r>
  <r>
    <s v="Bhilai"/>
    <n v="1"/>
    <x v="5"/>
    <s v="India"/>
  </r>
  <r>
    <s v="Bhopal"/>
    <n v="1"/>
    <x v="6"/>
    <s v="India"/>
  </r>
  <r>
    <s v="Bijnor"/>
    <n v="1"/>
    <x v="0"/>
    <s v="India"/>
  </r>
  <r>
    <s v="Bilaspur"/>
    <n v="1"/>
    <x v="5"/>
    <s v="India"/>
  </r>
  <r>
    <s v="Bulandeshwar"/>
    <n v="1"/>
    <x v="0"/>
    <s v="India"/>
  </r>
  <r>
    <s v="Chennai"/>
    <n v="1"/>
    <x v="7"/>
    <s v="India"/>
  </r>
  <r>
    <s v="Dehradun"/>
    <n v="3"/>
    <x v="8"/>
    <s v="India"/>
  </r>
  <r>
    <s v="Delhi"/>
    <n v="30"/>
    <x v="9"/>
    <s v="India"/>
  </r>
  <r>
    <s v="Erode"/>
    <n v="1"/>
    <x v="7"/>
    <s v="India"/>
  </r>
  <r>
    <s v="Faridabad"/>
    <n v="1"/>
    <x v="10"/>
    <s v="India"/>
  </r>
  <r>
    <s v="Forbesganj"/>
    <n v="1"/>
    <x v="11"/>
    <s v="India"/>
  </r>
  <r>
    <s v="Ghaziabad"/>
    <n v="7"/>
    <x v="0"/>
    <s v="India"/>
  </r>
  <r>
    <s v="Gorakhpur"/>
    <n v="1"/>
    <x v="0"/>
    <s v="India"/>
  </r>
  <r>
    <s v="Gurgaon"/>
    <n v="6"/>
    <x v="10"/>
    <s v="India"/>
  </r>
  <r>
    <s v="Hardoi"/>
    <n v="1"/>
    <x v="0"/>
    <s v="India"/>
  </r>
  <r>
    <s v="Hyderabad"/>
    <n v="5"/>
    <x v="12"/>
    <s v="India"/>
  </r>
  <r>
    <s v="Indore"/>
    <n v="1"/>
    <x v="6"/>
    <s v="India"/>
  </r>
  <r>
    <s v="Jabalpur"/>
    <n v="1"/>
    <x v="6"/>
    <s v="India"/>
  </r>
  <r>
    <s v="Jalandhar"/>
    <n v="1"/>
    <x v="2"/>
    <s v="India"/>
  </r>
  <r>
    <s v="Jhajjar"/>
    <n v="1"/>
    <x v="10"/>
    <s v="India"/>
  </r>
  <r>
    <s v="Jhansi"/>
    <n v="1"/>
    <x v="0"/>
    <s v="India"/>
  </r>
  <r>
    <s v="Jodhpur"/>
    <n v="1"/>
    <x v="1"/>
    <s v="India"/>
  </r>
  <r>
    <s v="Kannauj"/>
    <n v="1"/>
    <x v="0"/>
    <s v="India"/>
  </r>
  <r>
    <s v="Katpadi"/>
    <n v="1"/>
    <x v="7"/>
    <s v="India"/>
  </r>
  <r>
    <s v="Kolkata"/>
    <n v="5"/>
    <x v="13"/>
    <s v="India"/>
  </r>
  <r>
    <s v="Lucknow"/>
    <n v="59"/>
    <x v="0"/>
    <s v="India"/>
  </r>
  <r>
    <s v="Madurai"/>
    <n v="1"/>
    <x v="7"/>
    <s v="India"/>
  </r>
  <r>
    <s v="Moga"/>
    <n v="1"/>
    <x v="2"/>
    <s v="India"/>
  </r>
  <r>
    <s v="Mumbai"/>
    <n v="10"/>
    <x v="14"/>
    <s v="India"/>
  </r>
  <r>
    <s v="Nagpur"/>
    <n v="1"/>
    <x v="14"/>
    <s v="India"/>
  </r>
  <r>
    <s v="Noida"/>
    <n v="19"/>
    <x v="0"/>
    <s v="India"/>
  </r>
  <r>
    <s v="Patna"/>
    <n v="1"/>
    <x v="11"/>
    <s v="India"/>
  </r>
  <r>
    <s v="Phagwara"/>
    <n v="1"/>
    <x v="2"/>
    <s v="India"/>
  </r>
  <r>
    <s v="Pune"/>
    <n v="5"/>
    <x v="14"/>
    <s v="India"/>
  </r>
  <r>
    <s v="Ranchi"/>
    <n v="1"/>
    <x v="15"/>
    <s v="India"/>
  </r>
  <r>
    <s v="Rayagada"/>
    <n v="1"/>
    <x v="16"/>
    <s v="India"/>
  </r>
  <r>
    <s v="Sahibabad"/>
    <n v="1"/>
    <x v="0"/>
    <s v="India"/>
  </r>
  <r>
    <s v="Shahjahanpur"/>
    <n v="1"/>
    <x v="0"/>
    <s v="India"/>
  </r>
  <r>
    <s v="Sikar"/>
    <n v="1"/>
    <x v="1"/>
    <s v="India"/>
  </r>
  <r>
    <s v="Surat"/>
    <n v="2"/>
    <x v="3"/>
    <s v="India"/>
  </r>
  <r>
    <s v="Trichy"/>
    <n v="1"/>
    <x v="7"/>
    <s v="India"/>
  </r>
  <r>
    <s v="Udupi"/>
    <n v="1"/>
    <x v="4"/>
    <s v="India"/>
  </r>
  <r>
    <s v="Varanasi"/>
    <n v="3"/>
    <x v="0"/>
    <s v="India"/>
  </r>
  <r>
    <s v="Varanasi"/>
    <n v="3"/>
    <x v="0"/>
    <s v="Indi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d v="2024-10-01T00:00:00"/>
    <s v="October-2024"/>
    <s v="V85748809"/>
    <x v="0"/>
    <s v="Delivered"/>
    <n v="680"/>
    <s v="Kanpur"/>
    <x v="0"/>
    <x v="0"/>
    <s v="N.A."/>
    <d v="2024-10-03T00:00:00"/>
    <s v="N.A."/>
    <n v="2"/>
    <n v="2.2000000000000002"/>
    <x v="0"/>
  </r>
  <r>
    <d v="2024-10-01T00:00:00"/>
    <s v="October-2024"/>
    <s v="V85748810"/>
    <x v="0"/>
    <s v="Delivered"/>
    <n v="310"/>
    <s v="Kanpur"/>
    <x v="1"/>
    <x v="0"/>
    <s v="N.A."/>
    <d v="2024-10-03T00:00:00"/>
    <s v="N.A."/>
    <n v="2"/>
    <n v="1.7"/>
    <x v="1"/>
  </r>
  <r>
    <d v="2024-10-03T00:00:00"/>
    <s v="October-2024"/>
    <s v="U32167711"/>
    <x v="1"/>
    <s v="Delivered"/>
    <n v="320"/>
    <s v="Kanpur"/>
    <x v="2"/>
    <x v="0"/>
    <s v="Eatables"/>
    <d v="2024-10-07T00:00:00"/>
    <s v="N.A."/>
    <n v="4"/>
    <n v="2.1428571428571428"/>
    <x v="1"/>
  </r>
  <r>
    <d v="2024-10-03T00:00:00"/>
    <s v="October-2024"/>
    <s v="U32167712"/>
    <x v="1"/>
    <s v="Returned"/>
    <n v="140"/>
    <s v="Kanpur"/>
    <x v="3"/>
    <x v="0"/>
    <s v="N.A."/>
    <d v="2024-10-15T00:00:00"/>
    <d v="2024-11-08T00:00:00"/>
    <s v=""/>
    <n v="2.0555555555555554"/>
    <x v="2"/>
  </r>
  <r>
    <d v="2024-10-03T00:00:00"/>
    <s v="October-2024"/>
    <s v="U32167713"/>
    <x v="1"/>
    <s v="Delivered"/>
    <n v="150"/>
    <s v="Kanpur"/>
    <x v="3"/>
    <x v="0"/>
    <s v="N.A."/>
    <d v="2024-10-05T00:00:00"/>
    <s v="N.A."/>
    <n v="2"/>
    <n v="2.0555555555555554"/>
    <x v="0"/>
  </r>
  <r>
    <d v="2024-10-03T00:00:00"/>
    <s v="October-2024"/>
    <s v="U32167714"/>
    <x v="1"/>
    <s v="Delivered"/>
    <n v="100"/>
    <s v="Kanpur"/>
    <x v="4"/>
    <x v="0"/>
    <s v="N.A."/>
    <d v="2024-10-05T00:00:00"/>
    <s v="N.A."/>
    <n v="2"/>
    <n v="2.406779661016949"/>
    <x v="0"/>
  </r>
  <r>
    <d v="2024-10-03T00:00:00"/>
    <s v="October-2024"/>
    <s v="U32167715"/>
    <x v="1"/>
    <s v="Delivered"/>
    <n v="350"/>
    <s v="Kanpur"/>
    <x v="5"/>
    <x v="0"/>
    <s v="Clothes"/>
    <d v="2024-10-05T00:00:00"/>
    <s v="N.A."/>
    <n v="2"/>
    <n v="2"/>
    <x v="0"/>
  </r>
  <r>
    <d v="2024-10-03T00:00:00"/>
    <s v="October-2024"/>
    <s v="U32167717"/>
    <x v="1"/>
    <s v="Delivered"/>
    <n v="230"/>
    <s v="Kanpur"/>
    <x v="6"/>
    <x v="0"/>
    <s v="N.A."/>
    <d v="2024-10-05T00:00:00"/>
    <s v="N.A."/>
    <n v="2"/>
    <n v="2"/>
    <x v="0"/>
  </r>
  <r>
    <d v="2024-10-03T00:00:00"/>
    <s v="October-2024"/>
    <s v="U32167718"/>
    <x v="1"/>
    <s v="Delivered"/>
    <n v="720"/>
    <s v="Kanpur"/>
    <x v="7"/>
    <x v="0"/>
    <s v="N.A."/>
    <d v="2024-10-07T00:00:00"/>
    <s v="N.A."/>
    <n v="4"/>
    <n v="3.4"/>
    <x v="1"/>
  </r>
  <r>
    <d v="2024-10-03T00:00:00"/>
    <s v="October-2024"/>
    <s v="U32167719"/>
    <x v="1"/>
    <s v="Delivered"/>
    <n v="90"/>
    <s v="Kanpur"/>
    <x v="6"/>
    <x v="0"/>
    <s v="N.A."/>
    <d v="2024-10-05T00:00:00"/>
    <s v="N.A."/>
    <n v="2"/>
    <n v="2"/>
    <x v="0"/>
  </r>
  <r>
    <d v="2024-10-03T00:00:00"/>
    <s v="October-2024"/>
    <s v="V85748812"/>
    <x v="0"/>
    <s v="Delivered"/>
    <n v="270"/>
    <s v="Kanpur"/>
    <x v="8"/>
    <x v="0"/>
    <s v="N.A."/>
    <d v="2024-10-07T00:00:00"/>
    <s v="N.A."/>
    <n v="4"/>
    <n v="4"/>
    <x v="0"/>
  </r>
  <r>
    <d v="2024-10-03T00:00:00"/>
    <s v="October-2024"/>
    <s v="V85748813"/>
    <x v="0"/>
    <s v="Delivered"/>
    <n v="500"/>
    <s v="Kanpur"/>
    <x v="1"/>
    <x v="0"/>
    <s v="Passport"/>
    <d v="2024-10-04T00:00:00"/>
    <s v="N.A."/>
    <n v="1"/>
    <n v="1.7"/>
    <x v="0"/>
  </r>
  <r>
    <d v="2024-10-04T00:00:00"/>
    <s v="October-2024"/>
    <s v="D93994451"/>
    <x v="1"/>
    <s v="Delivered"/>
    <n v="480"/>
    <s v="Kanpur"/>
    <x v="4"/>
    <x v="1"/>
    <s v="Clothes"/>
    <d v="2024-10-07T00:00:00"/>
    <s v="N.A."/>
    <n v="3"/>
    <n v="2.406779661016949"/>
    <x v="1"/>
  </r>
  <r>
    <d v="2024-10-04T00:00:00"/>
    <s v="October-2024"/>
    <s v="U32167716"/>
    <x v="1"/>
    <s v="Delivered"/>
    <n v="90"/>
    <s v="Kanpur"/>
    <x v="4"/>
    <x v="0"/>
    <s v="N.A."/>
    <d v="2024-10-07T00:00:00"/>
    <s v="N.A."/>
    <n v="3"/>
    <n v="2.406779661016949"/>
    <x v="1"/>
  </r>
  <r>
    <d v="2024-10-04T00:00:00"/>
    <s v="October-2024"/>
    <s v="U32167720"/>
    <x v="1"/>
    <s v="Delivered"/>
    <n v="140"/>
    <s v="Kanpur"/>
    <x v="9"/>
    <x v="0"/>
    <s v="N.A."/>
    <d v="2024-10-06T00:00:00"/>
    <s v="N.A."/>
    <n v="2"/>
    <n v="3.5185185185185186"/>
    <x v="0"/>
  </r>
  <r>
    <d v="2024-10-04T00:00:00"/>
    <s v="October-2024"/>
    <s v="U32167721"/>
    <x v="1"/>
    <s v="Delivered"/>
    <n v="140"/>
    <s v="Kanpur"/>
    <x v="9"/>
    <x v="0"/>
    <s v="N.A."/>
    <d v="2024-10-06T00:00:00"/>
    <s v="N.A."/>
    <n v="2"/>
    <n v="3.5185185185185186"/>
    <x v="0"/>
  </r>
  <r>
    <d v="2024-10-04T00:00:00"/>
    <s v="October-2024"/>
    <s v="U32167722"/>
    <x v="1"/>
    <s v="Delivered"/>
    <n v="140"/>
    <s v="Kanpur"/>
    <x v="9"/>
    <x v="0"/>
    <s v="N.A."/>
    <d v="2024-10-06T00:00:00"/>
    <s v="N.A."/>
    <n v="2"/>
    <n v="3.5185185185185186"/>
    <x v="0"/>
  </r>
  <r>
    <d v="2024-10-04T00:00:00"/>
    <s v="October-2024"/>
    <s v="U32167723"/>
    <x v="1"/>
    <s v="Delivered"/>
    <n v="140"/>
    <s v="Kanpur"/>
    <x v="9"/>
    <x v="0"/>
    <s v="N.A."/>
    <d v="2024-10-06T00:00:00"/>
    <s v="N.A."/>
    <n v="2"/>
    <n v="3.5185185185185186"/>
    <x v="0"/>
  </r>
  <r>
    <d v="2024-10-04T00:00:00"/>
    <s v="October-2024"/>
    <s v="U32167724"/>
    <x v="1"/>
    <s v="Delivered"/>
    <n v="140"/>
    <s v="Kanpur"/>
    <x v="9"/>
    <x v="0"/>
    <s v="N.A."/>
    <d v="2024-10-06T00:00:00"/>
    <s v="N.A."/>
    <n v="2"/>
    <n v="3.5185185185185186"/>
    <x v="0"/>
  </r>
  <r>
    <d v="2024-10-04T00:00:00"/>
    <s v="October-2024"/>
    <s v="U32167725"/>
    <x v="1"/>
    <s v="Delivered"/>
    <n v="140"/>
    <s v="Kanpur"/>
    <x v="9"/>
    <x v="0"/>
    <s v="N.A."/>
    <d v="2024-10-06T00:00:00"/>
    <s v="N.A."/>
    <n v="2"/>
    <n v="3.5185185185185186"/>
    <x v="0"/>
  </r>
  <r>
    <d v="2024-10-04T00:00:00"/>
    <s v="October-2024"/>
    <s v="U32167726"/>
    <x v="1"/>
    <s v="Delivered"/>
    <n v="140"/>
    <s v="Kanpur"/>
    <x v="9"/>
    <x v="0"/>
    <s v="N.A."/>
    <d v="2024-10-06T00:00:00"/>
    <s v="N.A."/>
    <n v="2"/>
    <n v="3.5185185185185186"/>
    <x v="0"/>
  </r>
  <r>
    <d v="2024-10-04T00:00:00"/>
    <s v="October-2024"/>
    <s v="U32167727"/>
    <x v="1"/>
    <s v="Delivered"/>
    <n v="140"/>
    <s v="Kanpur"/>
    <x v="9"/>
    <x v="0"/>
    <s v="N.A."/>
    <d v="2024-10-06T00:00:00"/>
    <s v="N.A."/>
    <n v="2"/>
    <n v="3.5185185185185186"/>
    <x v="0"/>
  </r>
  <r>
    <d v="2024-10-04T00:00:00"/>
    <s v="October-2024"/>
    <s v="U32167728"/>
    <x v="1"/>
    <s v="Delivered"/>
    <n v="140"/>
    <s v="Kanpur"/>
    <x v="9"/>
    <x v="0"/>
    <s v="N.A."/>
    <d v="2024-10-06T00:00:00"/>
    <s v="N.A."/>
    <n v="2"/>
    <n v="3.5185185185185186"/>
    <x v="0"/>
  </r>
  <r>
    <d v="2024-10-04T00:00:00"/>
    <s v="October-2024"/>
    <s v="U32167729"/>
    <x v="1"/>
    <s v="Delivered"/>
    <n v="170"/>
    <s v="Kanpur"/>
    <x v="9"/>
    <x v="0"/>
    <s v="N.A."/>
    <d v="2024-10-06T00:00:00"/>
    <s v="N.A."/>
    <n v="2"/>
    <n v="3.5185185185185186"/>
    <x v="0"/>
  </r>
  <r>
    <d v="2024-10-04T00:00:00"/>
    <s v="October-2024"/>
    <s v="U32167730"/>
    <x v="1"/>
    <s v="Delivered"/>
    <n v="90"/>
    <s v="Kanpur"/>
    <x v="3"/>
    <x v="0"/>
    <s v="N.A."/>
    <d v="2024-10-07T00:00:00"/>
    <s v="N.A."/>
    <n v="3"/>
    <n v="2.0555555555555554"/>
    <x v="1"/>
  </r>
  <r>
    <d v="2024-10-04T00:00:00"/>
    <s v="October-2024"/>
    <s v="U32167731"/>
    <x v="1"/>
    <s v="Delivered"/>
    <n v="140"/>
    <s v="Kanpur"/>
    <x v="0"/>
    <x v="0"/>
    <s v="N.A."/>
    <d v="2024-10-07T00:00:00"/>
    <s v="N.A."/>
    <n v="3"/>
    <n v="2.2000000000000002"/>
    <x v="1"/>
  </r>
  <r>
    <d v="2024-10-04T00:00:00"/>
    <s v="October-2024"/>
    <s v="U32167732"/>
    <x v="1"/>
    <s v="Delivered"/>
    <n v="170"/>
    <s v="Kanpur"/>
    <x v="1"/>
    <x v="0"/>
    <s v="N.A."/>
    <d v="2024-10-07T00:00:00"/>
    <s v="N.A."/>
    <n v="3"/>
    <n v="1.7"/>
    <x v="1"/>
  </r>
  <r>
    <d v="2024-10-04T00:00:00"/>
    <s v="October-2024"/>
    <s v="U32167733"/>
    <x v="1"/>
    <s v="Delivered"/>
    <n v="70"/>
    <s v="Kanpur"/>
    <x v="4"/>
    <x v="0"/>
    <s v="N.A."/>
    <d v="2024-10-07T00:00:00"/>
    <s v="N.A."/>
    <n v="3"/>
    <n v="2.406779661016949"/>
    <x v="1"/>
  </r>
  <r>
    <d v="2024-10-04T00:00:00"/>
    <s v="October-2024"/>
    <s v="U32167734"/>
    <x v="1"/>
    <s v="Delivered"/>
    <n v="70"/>
    <s v="Kanpur"/>
    <x v="4"/>
    <x v="0"/>
    <s v="N.A."/>
    <d v="2024-10-07T00:00:00"/>
    <s v="N.A."/>
    <n v="3"/>
    <n v="2.406779661016949"/>
    <x v="1"/>
  </r>
  <r>
    <d v="2024-10-04T00:00:00"/>
    <s v="October-2024"/>
    <s v="U32167735"/>
    <x v="1"/>
    <s v="Delivered"/>
    <n v="70"/>
    <s v="Kanpur"/>
    <x v="4"/>
    <x v="0"/>
    <s v="N.A."/>
    <d v="2024-10-07T00:00:00"/>
    <s v="N.A."/>
    <n v="3"/>
    <n v="2.406779661016949"/>
    <x v="1"/>
  </r>
  <r>
    <d v="2024-10-04T00:00:00"/>
    <s v="October-2024"/>
    <s v="U32167736"/>
    <x v="1"/>
    <s v="Delivered"/>
    <n v="70"/>
    <s v="Kanpur"/>
    <x v="4"/>
    <x v="0"/>
    <s v="N.A."/>
    <d v="2024-10-07T00:00:00"/>
    <s v="N.A."/>
    <n v="3"/>
    <n v="2.406779661016949"/>
    <x v="1"/>
  </r>
  <r>
    <d v="2024-10-04T00:00:00"/>
    <s v="October-2024"/>
    <s v="U32167737"/>
    <x v="1"/>
    <s v="Delivered"/>
    <n v="70"/>
    <s v="Kanpur"/>
    <x v="4"/>
    <x v="0"/>
    <s v="N.A."/>
    <d v="2024-10-07T00:00:00"/>
    <s v="N.A."/>
    <n v="3"/>
    <n v="2.406779661016949"/>
    <x v="1"/>
  </r>
  <r>
    <d v="2024-10-04T00:00:00"/>
    <s v="October-2024"/>
    <s v="U32167738"/>
    <x v="1"/>
    <s v="Delivered"/>
    <n v="140"/>
    <s v="Kanpur"/>
    <x v="10"/>
    <x v="0"/>
    <s v="N.A."/>
    <d v="2024-10-08T00:00:00"/>
    <s v="N.A."/>
    <n v="4"/>
    <n v="3.6"/>
    <x v="1"/>
  </r>
  <r>
    <d v="2024-10-04T00:00:00"/>
    <s v="October-2024"/>
    <s v="U32167739"/>
    <x v="1"/>
    <s v="Delivered"/>
    <n v="110"/>
    <s v="Kanpur"/>
    <x v="11"/>
    <x v="0"/>
    <s v="N.A."/>
    <d v="2024-10-07T00:00:00"/>
    <s v="N.A."/>
    <n v="3"/>
    <n v="3"/>
    <x v="0"/>
  </r>
  <r>
    <d v="2024-10-04T00:00:00"/>
    <s v="October-2024"/>
    <s v="U32167740"/>
    <x v="1"/>
    <s v="Delivered"/>
    <n v="90"/>
    <s v="Kanpur"/>
    <x v="12"/>
    <x v="0"/>
    <s v="N.A."/>
    <d v="2024-10-05T00:00:00"/>
    <s v="N.A."/>
    <n v="1"/>
    <n v="1.5"/>
    <x v="0"/>
  </r>
  <r>
    <d v="2024-10-04T00:00:00"/>
    <s v="October-2024"/>
    <s v="U32167741"/>
    <x v="1"/>
    <s v="Delivered"/>
    <n v="250"/>
    <s v="Kanpur"/>
    <x v="13"/>
    <x v="0"/>
    <s v="N.A."/>
    <d v="2024-10-16T00:00:00"/>
    <s v="N.A."/>
    <n v="12"/>
    <n v="12"/>
    <x v="0"/>
  </r>
  <r>
    <d v="2024-10-04T00:00:00"/>
    <s v="October-2024"/>
    <s v="U32167742"/>
    <x v="1"/>
    <s v="Delivered"/>
    <n v="320"/>
    <s v="Kanpur"/>
    <x v="7"/>
    <x v="0"/>
    <s v="Hair Kit"/>
    <d v="2024-10-07T00:00:00"/>
    <s v="N.A."/>
    <n v="3"/>
    <n v="3.4"/>
    <x v="0"/>
  </r>
  <r>
    <d v="2024-10-04T00:00:00"/>
    <s v="October-2024"/>
    <s v="V85748811"/>
    <x v="0"/>
    <s v="Delivered"/>
    <n v="500"/>
    <s v="Kanpur"/>
    <x v="1"/>
    <x v="0"/>
    <s v="Passport"/>
    <d v="2024-10-04T00:00:00"/>
    <s v="N.A."/>
    <n v="0"/>
    <n v="1.7"/>
    <x v="0"/>
  </r>
  <r>
    <d v="2024-10-04T00:00:00"/>
    <s v="October-2024"/>
    <s v="V85748814"/>
    <x v="0"/>
    <s v="Delivered"/>
    <n v="310"/>
    <s v="Kanpur"/>
    <x v="1"/>
    <x v="0"/>
    <s v="N.A."/>
    <d v="2024-10-05T00:00:00"/>
    <s v="N.A."/>
    <n v="1"/>
    <n v="1.7"/>
    <x v="0"/>
  </r>
  <r>
    <d v="2024-10-04T00:00:00"/>
    <s v="October-2024"/>
    <s v="V85748815"/>
    <x v="0"/>
    <s v="Delivered"/>
    <n v="270"/>
    <s v="Kanpur"/>
    <x v="3"/>
    <x v="0"/>
    <s v="Original Degree"/>
    <d v="2024-10-05T00:00:00"/>
    <s v="N.A."/>
    <n v="1"/>
    <n v="2.0555555555555554"/>
    <x v="0"/>
  </r>
  <r>
    <d v="2024-10-05T00:00:00"/>
    <s v="October-2024"/>
    <s v="D93994452"/>
    <x v="1"/>
    <s v="Delivered"/>
    <n v="640"/>
    <s v="Kanpur"/>
    <x v="2"/>
    <x v="1"/>
    <s v="Eatables"/>
    <d v="2024-10-07T00:00:00"/>
    <s v="N.A."/>
    <n v="2"/>
    <n v="2.1428571428571428"/>
    <x v="0"/>
  </r>
  <r>
    <d v="2024-10-05T00:00:00"/>
    <s v="October-2024"/>
    <s v="D93994453"/>
    <x v="1"/>
    <s v="Delivered"/>
    <n v="1000"/>
    <s v="Kanpur"/>
    <x v="2"/>
    <x v="1"/>
    <s v="Curtains"/>
    <d v="2024-10-07T00:00:00"/>
    <s v="N.A."/>
    <n v="2"/>
    <n v="2.1428571428571428"/>
    <x v="0"/>
  </r>
  <r>
    <d v="2024-10-05T00:00:00"/>
    <s v="October-2024"/>
    <s v="D93994454"/>
    <x v="1"/>
    <s v="Delivered"/>
    <n v="1540"/>
    <s v="Kanpur"/>
    <x v="14"/>
    <x v="1"/>
    <s v="Clothes"/>
    <d v="2024-10-08T00:00:00"/>
    <s v="N.A."/>
    <n v="3"/>
    <n v="3"/>
    <x v="0"/>
  </r>
  <r>
    <d v="2024-10-05T00:00:00"/>
    <s v="October-2024"/>
    <s v="U32167743"/>
    <x v="1"/>
    <s v="Delivered"/>
    <n v="110"/>
    <s v="Kanpur"/>
    <x v="15"/>
    <x v="0"/>
    <s v="N.A."/>
    <d v="2024-10-08T00:00:00"/>
    <s v="N.A."/>
    <n v="3"/>
    <n v="2.3333333333333335"/>
    <x v="1"/>
  </r>
  <r>
    <d v="2024-10-05T00:00:00"/>
    <s v="October-2024"/>
    <s v="U32167744"/>
    <x v="1"/>
    <s v="Delivered"/>
    <n v="210"/>
    <s v="Kanpur"/>
    <x v="16"/>
    <x v="0"/>
    <s v="N.A."/>
    <d v="2024-10-08T00:00:00"/>
    <s v="N.A."/>
    <n v="3"/>
    <n v="4.5999999999999996"/>
    <x v="0"/>
  </r>
  <r>
    <d v="2024-10-05T00:00:00"/>
    <s v="October-2024"/>
    <s v="U32167745"/>
    <x v="1"/>
    <s v="Delivered"/>
    <n v="150"/>
    <s v="Kanpur"/>
    <x v="17"/>
    <x v="0"/>
    <s v="Clothes"/>
    <d v="2024-10-08T00:00:00"/>
    <s v="N.A."/>
    <n v="3"/>
    <n v="3"/>
    <x v="0"/>
  </r>
  <r>
    <d v="2024-10-05T00:00:00"/>
    <s v="October-2024"/>
    <s v="U32167746"/>
    <x v="1"/>
    <s v="Delivered"/>
    <n v="350"/>
    <s v="Kanpur"/>
    <x v="18"/>
    <x v="0"/>
    <s v="Clothes"/>
    <d v="2024-10-08T00:00:00"/>
    <s v="N.A."/>
    <n v="3"/>
    <n v="3"/>
    <x v="0"/>
  </r>
  <r>
    <d v="2024-10-05T00:00:00"/>
    <s v="October-2024"/>
    <s v="U32167747"/>
    <x v="1"/>
    <s v="Delivered"/>
    <n v="120"/>
    <s v="Kanpur"/>
    <x v="4"/>
    <x v="0"/>
    <s v="Earphones"/>
    <d v="2024-10-07T00:00:00"/>
    <s v="N.A."/>
    <n v="2"/>
    <n v="2.406779661016949"/>
    <x v="0"/>
  </r>
  <r>
    <d v="2024-10-05T00:00:00"/>
    <s v="October-2024"/>
    <s v="U32167748"/>
    <x v="1"/>
    <s v="Delivered"/>
    <n v="90"/>
    <s v="Kanpur"/>
    <x v="4"/>
    <x v="0"/>
    <s v="N.A."/>
    <d v="2024-10-07T00:00:00"/>
    <s v="N.A."/>
    <n v="2"/>
    <n v="2.406779661016949"/>
    <x v="0"/>
  </r>
  <r>
    <d v="2024-10-05T00:00:00"/>
    <s v="October-2024"/>
    <s v="U32167749"/>
    <x v="1"/>
    <s v="Delivered"/>
    <n v="110"/>
    <s v="Kanpur"/>
    <x v="1"/>
    <x v="0"/>
    <s v="N.A."/>
    <d v="2024-10-07T00:00:00"/>
    <s v="N.A."/>
    <n v="2"/>
    <n v="1.7"/>
    <x v="1"/>
  </r>
  <r>
    <d v="2024-10-05T00:00:00"/>
    <s v="October-2024"/>
    <s v="U32167750"/>
    <x v="1"/>
    <s v="Delivered"/>
    <n v="150"/>
    <s v="Kanpur"/>
    <x v="4"/>
    <x v="0"/>
    <s v="N.A."/>
    <d v="2024-10-07T00:00:00"/>
    <s v="N.A."/>
    <n v="2"/>
    <n v="2.406779661016949"/>
    <x v="0"/>
  </r>
  <r>
    <d v="2024-10-05T00:00:00"/>
    <s v="October-2024"/>
    <s v="U32167751"/>
    <x v="1"/>
    <s v="Delivered"/>
    <n v="210"/>
    <s v="Kanpur"/>
    <x v="19"/>
    <x v="0"/>
    <s v="Jadi Booti"/>
    <d v="2024-10-16T00:00:00"/>
    <s v="N.A."/>
    <n v="11"/>
    <n v="11"/>
    <x v="0"/>
  </r>
  <r>
    <d v="2024-10-05T00:00:00"/>
    <s v="October-2024"/>
    <s v="U32167752"/>
    <x v="1"/>
    <s v="Delivered"/>
    <n v="170"/>
    <s v="Kanpur"/>
    <x v="9"/>
    <x v="0"/>
    <s v="N.A."/>
    <d v="2024-10-10T00:00:00"/>
    <s v="N.A."/>
    <n v="5"/>
    <n v="3.5185185185185186"/>
    <x v="1"/>
  </r>
  <r>
    <d v="2024-10-05T00:00:00"/>
    <s v="October-2024"/>
    <s v="U32167753"/>
    <x v="1"/>
    <s v="Delivered"/>
    <n v="170"/>
    <s v="Kanpur"/>
    <x v="9"/>
    <x v="0"/>
    <s v="N.A."/>
    <d v="2024-10-10T00:00:00"/>
    <s v="N.A."/>
    <n v="5"/>
    <n v="3.5185185185185186"/>
    <x v="1"/>
  </r>
  <r>
    <d v="2024-10-05T00:00:00"/>
    <s v="October-2024"/>
    <s v="U32167754"/>
    <x v="1"/>
    <s v="Delivered"/>
    <n v="170"/>
    <s v="Kanpur"/>
    <x v="9"/>
    <x v="0"/>
    <s v="N.A."/>
    <d v="2024-10-10T00:00:00"/>
    <s v="N.A."/>
    <n v="5"/>
    <n v="3.5185185185185186"/>
    <x v="1"/>
  </r>
  <r>
    <d v="2024-10-05T00:00:00"/>
    <s v="October-2024"/>
    <s v="U32167755"/>
    <x v="1"/>
    <s v="Delivered"/>
    <n v="140"/>
    <s v="Kanpur"/>
    <x v="9"/>
    <x v="0"/>
    <s v="N.A."/>
    <d v="2024-10-10T00:00:00"/>
    <s v="N.A."/>
    <n v="5"/>
    <n v="3.5185185185185186"/>
    <x v="1"/>
  </r>
  <r>
    <d v="2024-10-05T00:00:00"/>
    <s v="October-2024"/>
    <s v="U32167756"/>
    <x v="1"/>
    <s v="Delivered"/>
    <n v="140"/>
    <s v="Kanpur"/>
    <x v="9"/>
    <x v="0"/>
    <s v="N.A."/>
    <d v="2024-10-10T00:00:00"/>
    <s v="N.A."/>
    <n v="5"/>
    <n v="3.5185185185185186"/>
    <x v="1"/>
  </r>
  <r>
    <d v="2024-10-05T00:00:00"/>
    <s v="October-2024"/>
    <s v="U32167757"/>
    <x v="1"/>
    <s v="Delivered"/>
    <n v="140"/>
    <s v="Kanpur"/>
    <x v="9"/>
    <x v="0"/>
    <s v="N.A."/>
    <d v="2024-10-10T00:00:00"/>
    <s v="N.A."/>
    <n v="5"/>
    <n v="3.5185185185185186"/>
    <x v="1"/>
  </r>
  <r>
    <d v="2024-10-05T00:00:00"/>
    <s v="October-2024"/>
    <s v="U32167758"/>
    <x v="1"/>
    <s v="Delivered"/>
    <n v="140"/>
    <s v="Kanpur"/>
    <x v="9"/>
    <x v="0"/>
    <s v="N.A."/>
    <d v="2024-10-10T00:00:00"/>
    <s v="N.A."/>
    <n v="5"/>
    <n v="3.5185185185185186"/>
    <x v="1"/>
  </r>
  <r>
    <d v="2024-10-05T00:00:00"/>
    <s v="October-2024"/>
    <s v="U32167759"/>
    <x v="1"/>
    <s v="Delivered"/>
    <n v="120"/>
    <s v="Kanpur"/>
    <x v="3"/>
    <x v="0"/>
    <s v="N.A."/>
    <d v="2024-10-07T00:00:00"/>
    <s v="N.A."/>
    <n v="2"/>
    <n v="2.0555555555555554"/>
    <x v="0"/>
  </r>
  <r>
    <d v="2024-10-05T00:00:00"/>
    <s v="October-2024"/>
    <s v="U32167760"/>
    <x v="1"/>
    <s v="Delivered"/>
    <n v="120"/>
    <s v="Kanpur"/>
    <x v="3"/>
    <x v="0"/>
    <s v="N.A."/>
    <d v="2024-10-07T00:00:00"/>
    <s v="N.A."/>
    <n v="2"/>
    <n v="2.0555555555555554"/>
    <x v="0"/>
  </r>
  <r>
    <d v="2024-10-05T00:00:00"/>
    <s v="October-2024"/>
    <s v="U32167761"/>
    <x v="1"/>
    <s v="Delivered"/>
    <n v="140"/>
    <s v="Kanpur"/>
    <x v="7"/>
    <x v="0"/>
    <s v="N.A."/>
    <d v="2024-10-10T00:00:00"/>
    <s v="N.A."/>
    <n v="5"/>
    <n v="3.4"/>
    <x v="1"/>
  </r>
  <r>
    <d v="2024-10-05T00:00:00"/>
    <s v="October-2024"/>
    <s v="U32167762"/>
    <x v="1"/>
    <s v="Delivered"/>
    <n v="70"/>
    <s v="Kanpur"/>
    <x v="4"/>
    <x v="0"/>
    <s v="N.A."/>
    <d v="2024-10-10T00:00:00"/>
    <s v="N.A."/>
    <n v="5"/>
    <n v="2.406779661016949"/>
    <x v="1"/>
  </r>
  <r>
    <d v="2024-10-05T00:00:00"/>
    <s v="October-2024"/>
    <s v="U32167763"/>
    <x v="1"/>
    <s v="Delivered"/>
    <n v="70"/>
    <s v="Kanpur"/>
    <x v="4"/>
    <x v="0"/>
    <s v="N.A."/>
    <d v="2024-10-10T00:00:00"/>
    <s v="N.A."/>
    <n v="5"/>
    <n v="2.406779661016949"/>
    <x v="1"/>
  </r>
  <r>
    <d v="2024-10-05T00:00:00"/>
    <s v="October-2024"/>
    <s v="U32167764"/>
    <x v="1"/>
    <s v="Delivered"/>
    <n v="70"/>
    <s v="Kanpur"/>
    <x v="4"/>
    <x v="0"/>
    <s v="N.A."/>
    <d v="2024-10-10T00:00:00"/>
    <s v="N.A."/>
    <n v="5"/>
    <n v="2.406779661016949"/>
    <x v="1"/>
  </r>
  <r>
    <d v="2024-10-05T00:00:00"/>
    <s v="October-2024"/>
    <s v="U32167765"/>
    <x v="1"/>
    <s v="Delivered"/>
    <n v="70"/>
    <s v="Kanpur"/>
    <x v="4"/>
    <x v="0"/>
    <s v="N.A."/>
    <d v="2024-10-10T00:00:00"/>
    <s v="N.A."/>
    <n v="5"/>
    <n v="2.406779661016949"/>
    <x v="1"/>
  </r>
  <r>
    <d v="2024-10-05T00:00:00"/>
    <s v="October-2024"/>
    <s v="U32167766"/>
    <x v="1"/>
    <s v="Delivered"/>
    <n v="90"/>
    <s v="Kanpur"/>
    <x v="4"/>
    <x v="0"/>
    <s v="N.A."/>
    <d v="2024-10-10T00:00:00"/>
    <s v="N.A."/>
    <n v="5"/>
    <n v="2.406779661016949"/>
    <x v="1"/>
  </r>
  <r>
    <d v="2024-10-05T00:00:00"/>
    <s v="October-2024"/>
    <s v="U32167767"/>
    <x v="1"/>
    <s v="Delivered"/>
    <n v="90"/>
    <s v="Kanpur"/>
    <x v="4"/>
    <x v="0"/>
    <s v="N.A."/>
    <d v="2024-10-10T00:00:00"/>
    <s v="N.A."/>
    <n v="5"/>
    <n v="2.406779661016949"/>
    <x v="1"/>
  </r>
  <r>
    <d v="2024-10-05T00:00:00"/>
    <s v="October-2024"/>
    <s v="U32167768"/>
    <x v="1"/>
    <s v="Delivered"/>
    <n v="90"/>
    <s v="Kanpur"/>
    <x v="4"/>
    <x v="0"/>
    <s v="N.A."/>
    <d v="2024-10-10T00:00:00"/>
    <s v="N.A."/>
    <n v="5"/>
    <n v="2.406779661016949"/>
    <x v="1"/>
  </r>
  <r>
    <d v="2024-10-05T00:00:00"/>
    <s v="October-2024"/>
    <s v="U32167769"/>
    <x v="1"/>
    <s v="Delivered"/>
    <n v="140"/>
    <s v="Kanpur"/>
    <x v="4"/>
    <x v="0"/>
    <s v="N.A."/>
    <d v="2024-10-10T00:00:00"/>
    <s v="N.A."/>
    <n v="5"/>
    <n v="2.406779661016949"/>
    <x v="1"/>
  </r>
  <r>
    <d v="2024-10-05T00:00:00"/>
    <s v="October-2024"/>
    <s v="U32167770"/>
    <x v="1"/>
    <s v="Delivered"/>
    <n v="70"/>
    <s v="Kanpur"/>
    <x v="4"/>
    <x v="0"/>
    <s v="N.A."/>
    <d v="2024-10-10T00:00:00"/>
    <s v="N.A."/>
    <n v="5"/>
    <n v="2.406779661016949"/>
    <x v="1"/>
  </r>
  <r>
    <d v="2024-10-05T00:00:00"/>
    <s v="October-2024"/>
    <s v="U32167771"/>
    <x v="1"/>
    <s v="Delivered"/>
    <n v="70"/>
    <s v="Kanpur"/>
    <x v="4"/>
    <x v="0"/>
    <s v="N.A."/>
    <d v="2024-10-09T00:00:00"/>
    <s v="N.A."/>
    <n v="4"/>
    <n v="2.406779661016949"/>
    <x v="1"/>
  </r>
  <r>
    <d v="2024-10-05T00:00:00"/>
    <s v="October-2024"/>
    <s v="U32167772"/>
    <x v="1"/>
    <s v="Delivered"/>
    <n v="90"/>
    <s v="Kanpur"/>
    <x v="4"/>
    <x v="0"/>
    <s v="N.A."/>
    <d v="2024-10-09T00:00:00"/>
    <s v="N.A."/>
    <n v="4"/>
    <n v="2.406779661016949"/>
    <x v="1"/>
  </r>
  <r>
    <d v="2024-10-05T00:00:00"/>
    <s v="October-2024"/>
    <s v="U32167773"/>
    <x v="1"/>
    <s v="Delivered"/>
    <n v="120"/>
    <s v="Kanpur"/>
    <x v="4"/>
    <x v="0"/>
    <s v="N.A."/>
    <d v="2024-10-09T00:00:00"/>
    <s v="N.A."/>
    <n v="4"/>
    <n v="2.406779661016949"/>
    <x v="1"/>
  </r>
  <r>
    <d v="2024-10-05T00:00:00"/>
    <s v="October-2024"/>
    <s v="V85748816"/>
    <x v="0"/>
    <s v="Delivered"/>
    <n v="970"/>
    <s v="Kanpur"/>
    <x v="20"/>
    <x v="0"/>
    <s v="Documents"/>
    <d v="2024-10-09T00:00:00"/>
    <s v="N.A."/>
    <n v="4"/>
    <n v="4"/>
    <x v="0"/>
  </r>
  <r>
    <d v="2024-10-06T00:00:00"/>
    <s v="October-2024"/>
    <s v="U32167774"/>
    <x v="1"/>
    <s v="Delivered"/>
    <n v="170"/>
    <s v="Kanpur"/>
    <x v="7"/>
    <x v="0"/>
    <s v="N.A."/>
    <d v="2024-10-10T00:00:00"/>
    <s v="N.A."/>
    <n v="4"/>
    <n v="3.4"/>
    <x v="1"/>
  </r>
  <r>
    <d v="2024-10-06T00:00:00"/>
    <s v="October-2024"/>
    <s v="U32167775"/>
    <x v="1"/>
    <s v="Delivered"/>
    <n v="90"/>
    <s v="Kanpur"/>
    <x v="1"/>
    <x v="0"/>
    <s v="N.A."/>
    <d v="2024-10-08T00:00:00"/>
    <s v="N.A."/>
    <n v="2"/>
    <n v="1.7"/>
    <x v="1"/>
  </r>
  <r>
    <d v="2024-10-07T00:00:00"/>
    <s v="October-2024"/>
    <s v="D93994455"/>
    <x v="1"/>
    <s v="Delivered"/>
    <n v="840"/>
    <s v="Kanpur"/>
    <x v="21"/>
    <x v="1"/>
    <s v="Pooja Accessories"/>
    <d v="2024-10-10T00:00:00"/>
    <s v="N.A."/>
    <n v="3"/>
    <n v="3"/>
    <x v="0"/>
  </r>
  <r>
    <d v="2024-10-07T00:00:00"/>
    <s v="October-2024"/>
    <s v="U32167776"/>
    <x v="1"/>
    <s v="Delivered"/>
    <n v="90"/>
    <s v="Kanpur"/>
    <x v="22"/>
    <x v="0"/>
    <s v="Cake Topper"/>
    <d v="2024-10-08T00:00:00"/>
    <s v="N.A."/>
    <n v="1"/>
    <n v="1"/>
    <x v="0"/>
  </r>
  <r>
    <d v="2024-10-07T00:00:00"/>
    <s v="October-2024"/>
    <s v="U32167777"/>
    <x v="1"/>
    <s v="Delivered"/>
    <n v="350"/>
    <s v="Kanpur"/>
    <x v="1"/>
    <x v="0"/>
    <s v="N.A."/>
    <d v="2024-10-09T00:00:00"/>
    <s v="N.A."/>
    <n v="2"/>
    <n v="1.7"/>
    <x v="1"/>
  </r>
  <r>
    <d v="2024-10-07T00:00:00"/>
    <s v="October-2024"/>
    <s v="U32167778"/>
    <x v="1"/>
    <s v="Delivered"/>
    <n v="90"/>
    <s v="Kanpur"/>
    <x v="4"/>
    <x v="0"/>
    <s v="Swab"/>
    <d v="2024-10-09T00:00:00"/>
    <s v="N.A."/>
    <n v="2"/>
    <n v="2.406779661016949"/>
    <x v="0"/>
  </r>
  <r>
    <d v="2024-10-07T00:00:00"/>
    <s v="October-2024"/>
    <s v="U32167779"/>
    <x v="1"/>
    <s v="Delivered"/>
    <n v="320"/>
    <s v="Kanpur"/>
    <x v="7"/>
    <x v="0"/>
    <s v="N.A."/>
    <d v="2024-10-10T00:00:00"/>
    <s v="N.A."/>
    <n v="3"/>
    <n v="3.4"/>
    <x v="0"/>
  </r>
  <r>
    <d v="2024-10-07T00:00:00"/>
    <s v="October-2024"/>
    <s v="U32167780"/>
    <x v="1"/>
    <s v="Delivered"/>
    <n v="150"/>
    <s v="Kanpur"/>
    <x v="7"/>
    <x v="0"/>
    <s v="N.A."/>
    <d v="2024-10-10T00:00:00"/>
    <s v="N.A."/>
    <n v="3"/>
    <n v="3.4"/>
    <x v="0"/>
  </r>
  <r>
    <d v="2024-10-07T00:00:00"/>
    <s v="October-2024"/>
    <s v="U32167781"/>
    <x v="1"/>
    <s v="Delivered"/>
    <n v="90"/>
    <s v="Kanpur"/>
    <x v="4"/>
    <x v="0"/>
    <s v="N.A."/>
    <d v="2024-10-09T00:00:00"/>
    <s v="N.A."/>
    <n v="2"/>
    <n v="2.406779661016949"/>
    <x v="0"/>
  </r>
  <r>
    <d v="2024-10-07T00:00:00"/>
    <s v="October-2024"/>
    <s v="U32167782"/>
    <x v="1"/>
    <s v="Delivered"/>
    <n v="140"/>
    <s v="Kanpur"/>
    <x v="16"/>
    <x v="0"/>
    <s v="N.A."/>
    <d v="2024-10-14T00:00:00"/>
    <s v="N.A."/>
    <n v="7"/>
    <n v="4.5999999999999996"/>
    <x v="1"/>
  </r>
  <r>
    <d v="2024-10-07T00:00:00"/>
    <s v="October-2024"/>
    <s v="U32167783"/>
    <x v="1"/>
    <s v="Delivered"/>
    <n v="90"/>
    <s v="Kanpur"/>
    <x v="3"/>
    <x v="0"/>
    <s v="N.A."/>
    <d v="2024-10-09T00:00:00"/>
    <s v="N.A."/>
    <n v="2"/>
    <n v="2.0555555555555554"/>
    <x v="0"/>
  </r>
  <r>
    <d v="2024-10-07T00:00:00"/>
    <s v="October-2024"/>
    <s v="U32167784"/>
    <x v="1"/>
    <s v="Delivered"/>
    <n v="90"/>
    <s v="Kanpur"/>
    <x v="1"/>
    <x v="0"/>
    <s v="N.A."/>
    <d v="2024-10-09T00:00:00"/>
    <s v="N.A."/>
    <n v="2"/>
    <n v="1.7"/>
    <x v="1"/>
  </r>
  <r>
    <d v="2024-10-07T00:00:00"/>
    <s v="October-2024"/>
    <s v="U32167785"/>
    <x v="1"/>
    <s v="Delivered"/>
    <n v="90"/>
    <s v="Kanpur"/>
    <x v="1"/>
    <x v="0"/>
    <s v="N.A."/>
    <d v="2024-10-09T00:00:00"/>
    <s v="N.A."/>
    <n v="2"/>
    <n v="1.7"/>
    <x v="1"/>
  </r>
  <r>
    <d v="2024-10-07T00:00:00"/>
    <s v="October-2024"/>
    <s v="U32167786"/>
    <x v="1"/>
    <s v="Delivered"/>
    <n v="140"/>
    <s v="Kanpur"/>
    <x v="10"/>
    <x v="0"/>
    <s v="N.A."/>
    <d v="2024-10-10T00:00:00"/>
    <s v="N.A."/>
    <n v="3"/>
    <n v="3.6"/>
    <x v="0"/>
  </r>
  <r>
    <d v="2024-10-07T00:00:00"/>
    <s v="October-2024"/>
    <s v="U32167787"/>
    <x v="1"/>
    <s v="Delivered"/>
    <n v="90"/>
    <s v="Kanpur"/>
    <x v="23"/>
    <x v="0"/>
    <s v="N.A."/>
    <d v="2024-10-09T00:00:00"/>
    <s v="N.A."/>
    <n v="2"/>
    <n v="2.1666666666666665"/>
    <x v="0"/>
  </r>
  <r>
    <d v="2024-10-07T00:00:00"/>
    <s v="October-2024"/>
    <s v="U32167788"/>
    <x v="1"/>
    <s v="Delivered"/>
    <n v="100"/>
    <s v="Kanpur"/>
    <x v="4"/>
    <x v="0"/>
    <s v="N.A."/>
    <d v="2024-10-09T00:00:00"/>
    <s v="N.A."/>
    <n v="2"/>
    <n v="2.406779661016949"/>
    <x v="0"/>
  </r>
  <r>
    <d v="2024-10-07T00:00:00"/>
    <s v="October-2024"/>
    <s v="U32167789"/>
    <x v="1"/>
    <s v="Delivered"/>
    <n v="120"/>
    <s v="Kanpur"/>
    <x v="23"/>
    <x v="0"/>
    <s v="N.A."/>
    <d v="2024-10-09T00:00:00"/>
    <s v="N.A."/>
    <n v="2"/>
    <n v="2.1666666666666665"/>
    <x v="0"/>
  </r>
  <r>
    <d v="2024-10-07T00:00:00"/>
    <s v="October-2024"/>
    <s v="U32167790"/>
    <x v="1"/>
    <s v="Delivered"/>
    <n v="90"/>
    <s v="Kanpur"/>
    <x v="23"/>
    <x v="0"/>
    <s v="N.A."/>
    <d v="2024-10-09T00:00:00"/>
    <s v="N.A."/>
    <n v="2"/>
    <n v="2.1666666666666665"/>
    <x v="0"/>
  </r>
  <r>
    <d v="2024-10-07T00:00:00"/>
    <s v="October-2024"/>
    <s v="U32167791"/>
    <x v="1"/>
    <s v="Delivered"/>
    <n v="140"/>
    <s v="Kanpur"/>
    <x v="16"/>
    <x v="0"/>
    <s v="N.A."/>
    <d v="2024-10-14T00:00:00"/>
    <s v="N.A."/>
    <n v="7"/>
    <n v="4.5999999999999996"/>
    <x v="1"/>
  </r>
  <r>
    <d v="2024-10-07T00:00:00"/>
    <s v="October-2024"/>
    <s v="U32167792"/>
    <x v="1"/>
    <s v="Delivered"/>
    <n v="90"/>
    <s v="Kanpur"/>
    <x v="3"/>
    <x v="0"/>
    <s v="N.A."/>
    <d v="2024-10-09T00:00:00"/>
    <s v="N.A."/>
    <n v="2"/>
    <n v="2.0555555555555554"/>
    <x v="0"/>
  </r>
  <r>
    <d v="2024-10-07T00:00:00"/>
    <s v="October-2024"/>
    <s v="U32167793"/>
    <x v="1"/>
    <s v="Delivered"/>
    <n v="90"/>
    <s v="Kanpur"/>
    <x v="3"/>
    <x v="0"/>
    <s v="N.A."/>
    <d v="2024-10-09T00:00:00"/>
    <s v="N.A."/>
    <n v="2"/>
    <n v="2.0555555555555554"/>
    <x v="0"/>
  </r>
  <r>
    <d v="2024-10-07T00:00:00"/>
    <s v="October-2024"/>
    <s v="V85748817"/>
    <x v="0"/>
    <s v="Delivered"/>
    <n v="390"/>
    <s v="Kanpur"/>
    <x v="24"/>
    <x v="0"/>
    <s v="Original Degree"/>
    <d v="2024-10-11T00:00:00"/>
    <s v="N.A."/>
    <n v="4"/>
    <n v="4"/>
    <x v="0"/>
  </r>
  <r>
    <d v="2024-10-07T00:00:00"/>
    <s v="October-2024"/>
    <s v="V85748818"/>
    <x v="0"/>
    <s v="Delivered"/>
    <n v="855"/>
    <s v="Kanpur"/>
    <x v="1"/>
    <x v="0"/>
    <s v="Eatables"/>
    <d v="2024-10-08T00:00:00"/>
    <s v="N.A."/>
    <n v="1"/>
    <n v="1.7"/>
    <x v="0"/>
  </r>
  <r>
    <d v="2024-10-07T00:00:00"/>
    <s v="October-2024"/>
    <s v="V85748819"/>
    <x v="0"/>
    <s v="Delivered"/>
    <n v="1250"/>
    <s v="Kanpur"/>
    <x v="25"/>
    <x v="0"/>
    <s v="Clothes"/>
    <d v="2024-10-09T00:00:00"/>
    <s v="N.A."/>
    <n v="2"/>
    <n v="2"/>
    <x v="0"/>
  </r>
  <r>
    <d v="2024-10-07T00:00:00"/>
    <s v="October-2024"/>
    <s v="V85940501"/>
    <x v="0"/>
    <s v="Delivered"/>
    <n v="310"/>
    <s v="Kanpur"/>
    <x v="1"/>
    <x v="0"/>
    <s v="N.A."/>
    <d v="2024-10-08T00:00:00"/>
    <s v="N.A."/>
    <n v="1"/>
    <n v="1.7"/>
    <x v="0"/>
  </r>
  <r>
    <d v="2024-10-07T00:00:00"/>
    <s v="October-2024"/>
    <s v="V85940502"/>
    <x v="0"/>
    <s v="Delivered"/>
    <n v="350"/>
    <s v="Kanpur"/>
    <x v="26"/>
    <x v="0"/>
    <s v="Original Degree"/>
    <d v="2024-10-10T00:00:00"/>
    <s v="N.A."/>
    <n v="3"/>
    <n v="3"/>
    <x v="0"/>
  </r>
  <r>
    <d v="2024-10-08T00:00:00"/>
    <s v="October-2024"/>
    <s v="U32167794"/>
    <x v="1"/>
    <s v="Delivered"/>
    <n v="110"/>
    <s v="Kanpur"/>
    <x v="2"/>
    <x v="0"/>
    <s v="Clothes"/>
    <d v="2024-10-10T00:00:00"/>
    <s v="N.A."/>
    <n v="2"/>
    <n v="2.1428571428571428"/>
    <x v="0"/>
  </r>
  <r>
    <d v="2024-10-08T00:00:00"/>
    <s v="October-2024"/>
    <s v="U32167795"/>
    <x v="1"/>
    <s v="Delivered"/>
    <n v="90"/>
    <s v="Kanpur"/>
    <x v="27"/>
    <x v="0"/>
    <s v="N.A."/>
    <d v="2024-10-09T00:00:00"/>
    <s v="N.A."/>
    <n v="1"/>
    <n v="1"/>
    <x v="0"/>
  </r>
  <r>
    <d v="2024-10-08T00:00:00"/>
    <s v="October-2024"/>
    <s v="U32167796"/>
    <x v="1"/>
    <s v="Delivered"/>
    <n v="150"/>
    <s v="Kanpur"/>
    <x v="28"/>
    <x v="0"/>
    <s v="N.A."/>
    <d v="2024-10-09T00:00:00"/>
    <s v="N.A."/>
    <n v="1"/>
    <n v="1"/>
    <x v="0"/>
  </r>
  <r>
    <d v="2024-10-08T00:00:00"/>
    <s v="October-2024"/>
    <s v="U32167797"/>
    <x v="1"/>
    <s v="Delivered"/>
    <n v="210"/>
    <s v="Kanpur"/>
    <x v="29"/>
    <x v="0"/>
    <s v="Wallet"/>
    <d v="2024-10-11T00:00:00"/>
    <s v="N.A."/>
    <n v="3"/>
    <n v="3.5"/>
    <x v="0"/>
  </r>
  <r>
    <d v="2024-10-08T00:00:00"/>
    <s v="October-2024"/>
    <s v="U32167798"/>
    <x v="1"/>
    <s v="Delivered"/>
    <n v="150"/>
    <s v="Kanpur"/>
    <x v="0"/>
    <x v="0"/>
    <s v="N.A."/>
    <d v="2024-10-10T00:00:00"/>
    <s v="N.A."/>
    <n v="2"/>
    <n v="2.2000000000000002"/>
    <x v="0"/>
  </r>
  <r>
    <d v="2024-10-08T00:00:00"/>
    <s v="October-2024"/>
    <s v="U32167799"/>
    <x v="1"/>
    <s v="Delivered"/>
    <n v="120"/>
    <s v="Kanpur"/>
    <x v="30"/>
    <x v="0"/>
    <s v="N.A."/>
    <d v="2024-10-10T00:00:00"/>
    <s v="N.A."/>
    <n v="2"/>
    <n v="2"/>
    <x v="0"/>
  </r>
  <r>
    <d v="2024-10-08T00:00:00"/>
    <s v="October-2024"/>
    <s v="U32593900"/>
    <x v="1"/>
    <s v="Delivered"/>
    <n v="480"/>
    <s v="Kanpur"/>
    <x v="31"/>
    <x v="0"/>
    <s v="N.A."/>
    <d v="2024-10-14T00:00:00"/>
    <s v="N.A."/>
    <n v="6"/>
    <n v="6"/>
    <x v="0"/>
  </r>
  <r>
    <d v="2024-10-08T00:00:00"/>
    <s v="October-2024"/>
    <s v="U32593901"/>
    <x v="1"/>
    <s v="Delivered"/>
    <n v="90"/>
    <s v="Kanpur"/>
    <x v="4"/>
    <x v="0"/>
    <s v="N.A."/>
    <d v="2024-10-11T00:00:00"/>
    <s v="N.A."/>
    <n v="3"/>
    <n v="2.406779661016949"/>
    <x v="1"/>
  </r>
  <r>
    <d v="2024-10-09T00:00:00"/>
    <s v="October-2024"/>
    <s v="U32593902"/>
    <x v="1"/>
    <s v="Delivered"/>
    <n v="140"/>
    <s v="Kanpur"/>
    <x v="1"/>
    <x v="0"/>
    <s v="N.A."/>
    <d v="2024-10-11T00:00:00"/>
    <s v="N.A."/>
    <n v="2"/>
    <n v="1.7"/>
    <x v="1"/>
  </r>
  <r>
    <d v="2024-10-09T00:00:00"/>
    <s v="October-2024"/>
    <s v="U32593903"/>
    <x v="1"/>
    <s v="Delivered"/>
    <n v="150"/>
    <s v="Kanpur"/>
    <x v="12"/>
    <x v="0"/>
    <s v="N.A."/>
    <d v="2024-10-10T00:00:00"/>
    <s v="N.A."/>
    <n v="1"/>
    <n v="1.5"/>
    <x v="0"/>
  </r>
  <r>
    <d v="2024-10-09T00:00:00"/>
    <s v="October-2024"/>
    <s v="U32593904"/>
    <x v="1"/>
    <s v="Delivered"/>
    <n v="140"/>
    <s v="Kanpur"/>
    <x v="0"/>
    <x v="0"/>
    <s v="N.A."/>
    <d v="2024-10-11T00:00:00"/>
    <s v="N.A."/>
    <n v="2"/>
    <n v="2.2000000000000002"/>
    <x v="0"/>
  </r>
  <r>
    <d v="2024-10-09T00:00:00"/>
    <s v="October-2024"/>
    <s v="U32593905"/>
    <x v="1"/>
    <s v="Delivered"/>
    <n v="140"/>
    <s v="Kanpur"/>
    <x v="0"/>
    <x v="0"/>
    <s v="N.A."/>
    <d v="2024-10-11T00:00:00"/>
    <s v="N.A."/>
    <n v="2"/>
    <n v="2.2000000000000002"/>
    <x v="0"/>
  </r>
  <r>
    <d v="2024-10-09T00:00:00"/>
    <s v="October-2024"/>
    <s v="U32593906"/>
    <x v="1"/>
    <s v="Delivered"/>
    <n v="170"/>
    <s v="Kanpur"/>
    <x v="9"/>
    <x v="0"/>
    <s v="N.A."/>
    <d v="2024-10-14T00:00:00"/>
    <s v="N.A."/>
    <n v="5"/>
    <n v="3.5185185185185186"/>
    <x v="1"/>
  </r>
  <r>
    <d v="2024-10-09T00:00:00"/>
    <s v="October-2024"/>
    <s v="U32593907"/>
    <x v="1"/>
    <s v="Delivered"/>
    <n v="300"/>
    <s v="Kanpur"/>
    <x v="3"/>
    <x v="0"/>
    <s v="N.A."/>
    <d v="2024-10-11T00:00:00"/>
    <s v="N.A."/>
    <n v="2"/>
    <n v="2.0555555555555554"/>
    <x v="0"/>
  </r>
  <r>
    <d v="2024-10-09T00:00:00"/>
    <s v="October-2024"/>
    <s v="U32593908"/>
    <x v="1"/>
    <s v="Delivered"/>
    <n v="210"/>
    <s v="Kanpur"/>
    <x v="15"/>
    <x v="0"/>
    <s v="N.A."/>
    <d v="2024-10-11T00:00:00"/>
    <s v="N.A."/>
    <n v="2"/>
    <n v="2.3333333333333335"/>
    <x v="0"/>
  </r>
  <r>
    <d v="2024-10-09T00:00:00"/>
    <s v="October-2024"/>
    <s v="U32593909"/>
    <x v="1"/>
    <s v="Delivered"/>
    <n v="110"/>
    <s v="Kanpur"/>
    <x v="32"/>
    <x v="0"/>
    <s v="N.A."/>
    <d v="2024-10-13T00:00:00"/>
    <s v="N.A."/>
    <n v="4"/>
    <n v="4"/>
    <x v="0"/>
  </r>
  <r>
    <d v="2024-10-09T00:00:00"/>
    <s v="October-2024"/>
    <s v="U32593910"/>
    <x v="1"/>
    <s v="Delivered"/>
    <n v="110"/>
    <s v="Kanpur"/>
    <x v="33"/>
    <x v="0"/>
    <s v="N.A."/>
    <d v="2024-10-10T00:00:00"/>
    <s v="N.A."/>
    <n v="1"/>
    <n v="1"/>
    <x v="0"/>
  </r>
  <r>
    <d v="2024-10-09T00:00:00"/>
    <s v="October-2024"/>
    <s v="U32593911"/>
    <x v="1"/>
    <s v="Delivered"/>
    <n v="140"/>
    <s v="Kanpur"/>
    <x v="33"/>
    <x v="0"/>
    <s v="N.A."/>
    <d v="2024-10-10T00:00:00"/>
    <s v="N.A."/>
    <n v="1"/>
    <n v="1"/>
    <x v="0"/>
  </r>
  <r>
    <d v="2024-10-09T00:00:00"/>
    <s v="October-2024"/>
    <s v="U32593912"/>
    <x v="1"/>
    <s v="Delivered"/>
    <n v="150"/>
    <s v="Kanpur"/>
    <x v="33"/>
    <x v="0"/>
    <s v="N.A."/>
    <d v="2024-10-10T00:00:00"/>
    <s v="N.A."/>
    <n v="1"/>
    <n v="1"/>
    <x v="0"/>
  </r>
  <r>
    <d v="2024-10-09T00:00:00"/>
    <s v="October-2024"/>
    <s v="U32593913"/>
    <x v="1"/>
    <s v="Delivered"/>
    <n v="110"/>
    <s v="Kanpur"/>
    <x v="1"/>
    <x v="0"/>
    <s v="N.A."/>
    <d v="2024-10-11T00:00:00"/>
    <s v="N.A."/>
    <n v="2"/>
    <n v="1.7"/>
    <x v="1"/>
  </r>
  <r>
    <d v="2024-10-09T00:00:00"/>
    <s v="October-2024"/>
    <s v="U32593914"/>
    <x v="1"/>
    <s v="Delivered"/>
    <n v="150"/>
    <s v="Kanpur"/>
    <x v="34"/>
    <x v="0"/>
    <s v="N.A."/>
    <d v="2024-10-15T00:00:00"/>
    <s v="N.A."/>
    <n v="6"/>
    <n v="6"/>
    <x v="0"/>
  </r>
  <r>
    <d v="2024-10-09T00:00:00"/>
    <s v="October-2024"/>
    <s v="V85940503"/>
    <x v="0"/>
    <s v="Delivered"/>
    <n v="390"/>
    <s v="Kanpur"/>
    <x v="35"/>
    <x v="0"/>
    <s v="Contact Lenses"/>
    <d v="2024-10-14T00:00:00"/>
    <s v="N.A."/>
    <n v="5"/>
    <n v="5"/>
    <x v="0"/>
  </r>
  <r>
    <d v="2024-10-10T00:00:00"/>
    <s v="October-2024"/>
    <s v="U32593915"/>
    <x v="1"/>
    <s v="Delivered"/>
    <n v="370"/>
    <s v="Kanpur"/>
    <x v="29"/>
    <x v="0"/>
    <s v="Clothes"/>
    <d v="2024-10-14T00:00:00"/>
    <s v="N.A."/>
    <n v="4"/>
    <n v="3.5"/>
    <x v="1"/>
  </r>
  <r>
    <d v="2024-10-10T00:00:00"/>
    <s v="October-2024"/>
    <s v="U32593916"/>
    <x v="1"/>
    <s v="Delivered"/>
    <n v="480"/>
    <s v="Kanpur"/>
    <x v="10"/>
    <x v="0"/>
    <s v="N.A."/>
    <d v="2024-10-13T00:00:00"/>
    <s v="N.A."/>
    <n v="3"/>
    <n v="3.6"/>
    <x v="0"/>
  </r>
  <r>
    <d v="2024-10-10T00:00:00"/>
    <s v="October-2024"/>
    <s v="U32593917"/>
    <x v="1"/>
    <s v="Delivered"/>
    <n v="90"/>
    <s v="Kanpur"/>
    <x v="4"/>
    <x v="0"/>
    <s v="N.A."/>
    <d v="2024-10-14T00:00:00"/>
    <s v="N.A."/>
    <n v="4"/>
    <n v="2.406779661016949"/>
    <x v="1"/>
  </r>
  <r>
    <d v="2024-10-10T00:00:00"/>
    <s v="October-2024"/>
    <s v="U32593918"/>
    <x v="1"/>
    <s v="Delivered"/>
    <n v="540"/>
    <s v="Kanpur"/>
    <x v="36"/>
    <x v="0"/>
    <s v="N.A."/>
    <d v="2024-10-14T00:00:00"/>
    <s v="N.A."/>
    <n v="4"/>
    <n v="4"/>
    <x v="0"/>
  </r>
  <r>
    <d v="2024-10-10T00:00:00"/>
    <s v="October-2024"/>
    <s v="U32593919"/>
    <x v="1"/>
    <s v="Delivered"/>
    <n v="240"/>
    <s v="Kanpur"/>
    <x v="37"/>
    <x v="0"/>
    <s v="N.A."/>
    <d v="2024-10-15T00:00:00"/>
    <s v="N.A."/>
    <n v="5"/>
    <n v="5"/>
    <x v="0"/>
  </r>
  <r>
    <d v="2024-10-11T00:00:00"/>
    <s v="October-2024"/>
    <s v="D93994456"/>
    <x v="1"/>
    <s v="Delivered"/>
    <n v="670"/>
    <s v="Kanpur"/>
    <x v="9"/>
    <x v="1"/>
    <s v="N.A."/>
    <d v="2024-10-17T00:00:00"/>
    <s v="N.A."/>
    <n v="6"/>
    <n v="3.5185185185185186"/>
    <x v="1"/>
  </r>
  <r>
    <d v="2024-10-11T00:00:00"/>
    <s v="October-2024"/>
    <s v="V85940504"/>
    <x v="0"/>
    <s v="Delivered"/>
    <n v="250"/>
    <s v="Kanpur"/>
    <x v="12"/>
    <x v="0"/>
    <s v="N.A."/>
    <d v="2024-10-14T00:00:00"/>
    <s v="N.A."/>
    <n v="3"/>
    <n v="1.5"/>
    <x v="1"/>
  </r>
  <r>
    <d v="2024-10-12T00:00:00"/>
    <s v="October-2024"/>
    <s v="D93994457"/>
    <x v="1"/>
    <s v="Delivered"/>
    <n v="610"/>
    <s v="Kanpur"/>
    <x v="1"/>
    <x v="1"/>
    <s v="N.A."/>
    <d v="2024-10-14T00:00:00"/>
    <s v="N.A."/>
    <n v="2"/>
    <n v="1.7"/>
    <x v="1"/>
  </r>
  <r>
    <d v="2024-10-12T00:00:00"/>
    <s v="October-2024"/>
    <s v="D93994458"/>
    <x v="1"/>
    <s v="Delivered"/>
    <n v="710"/>
    <s v="Kanpur"/>
    <x v="38"/>
    <x v="1"/>
    <s v="N.A."/>
    <d v="2024-10-18T00:00:00"/>
    <s v="N.A."/>
    <n v="6"/>
    <n v="6"/>
    <x v="0"/>
  </r>
  <r>
    <d v="2024-10-12T00:00:00"/>
    <s v="October-2024"/>
    <s v="U32593938"/>
    <x v="1"/>
    <s v="Delivered"/>
    <n v="140"/>
    <s v="Kanpur"/>
    <x v="39"/>
    <x v="0"/>
    <s v="N.A."/>
    <d v="2024-10-14T00:00:00"/>
    <s v="N.A."/>
    <n v="2"/>
    <n v="2"/>
    <x v="0"/>
  </r>
  <r>
    <d v="2024-10-12T00:00:00"/>
    <s v="October-2024"/>
    <s v="U32593939"/>
    <x v="1"/>
    <s v="Delivered"/>
    <n v="130"/>
    <s v="Kanpur"/>
    <x v="2"/>
    <x v="0"/>
    <s v="N.A."/>
    <d v="2024-10-15T00:00:00"/>
    <s v="N.A."/>
    <n v="3"/>
    <n v="2.1428571428571428"/>
    <x v="1"/>
  </r>
  <r>
    <d v="2024-10-12T00:00:00"/>
    <s v="October-2024"/>
    <s v="V85940505"/>
    <x v="0"/>
    <s v="Delivered"/>
    <n v="370"/>
    <s v="Kanpur"/>
    <x v="1"/>
    <x v="0"/>
    <s v="N.A."/>
    <d v="2024-10-14T00:00:00"/>
    <s v="N.A."/>
    <n v="2"/>
    <n v="1.7"/>
    <x v="1"/>
  </r>
  <r>
    <d v="2024-10-13T00:00:00"/>
    <s v="October-2024"/>
    <s v="U32593948"/>
    <x v="1"/>
    <s v="Delivered"/>
    <n v="170"/>
    <s v="Kanpur"/>
    <x v="9"/>
    <x v="0"/>
    <s v="N.A."/>
    <d v="2024-10-16T00:00:00"/>
    <s v="N.A."/>
    <n v="3"/>
    <n v="3.5185185185185186"/>
    <x v="0"/>
  </r>
  <r>
    <d v="2024-10-14T00:00:00"/>
    <s v="October-2024"/>
    <s v="U32593949"/>
    <x v="1"/>
    <s v="Delivered"/>
    <n v="140"/>
    <s v="Kanpur"/>
    <x v="9"/>
    <x v="0"/>
    <s v="N.A."/>
    <d v="2024-10-16T00:00:00"/>
    <s v="N.A."/>
    <n v="2"/>
    <n v="3.5185185185185186"/>
    <x v="0"/>
  </r>
  <r>
    <d v="2024-10-14T00:00:00"/>
    <s v="October-2024"/>
    <s v="U32593950"/>
    <x v="1"/>
    <s v="Delivered"/>
    <n v="140"/>
    <s v="Kanpur"/>
    <x v="9"/>
    <x v="0"/>
    <s v="N.A."/>
    <d v="2024-10-16T00:00:00"/>
    <s v="N.A."/>
    <n v="2"/>
    <n v="3.5185185185185186"/>
    <x v="0"/>
  </r>
  <r>
    <d v="2024-10-14T00:00:00"/>
    <s v="October-2024"/>
    <s v="U32593951"/>
    <x v="1"/>
    <s v="Delivered"/>
    <n v="170"/>
    <s v="Kanpur"/>
    <x v="9"/>
    <x v="0"/>
    <s v="N.A."/>
    <d v="2024-10-16T00:00:00"/>
    <s v="N.A."/>
    <n v="2"/>
    <n v="3.5185185185185186"/>
    <x v="0"/>
  </r>
  <r>
    <d v="2024-10-14T00:00:00"/>
    <s v="October-2024"/>
    <s v="U32593952"/>
    <x v="1"/>
    <s v="Delivered"/>
    <n v="70"/>
    <s v="Kanpur"/>
    <x v="4"/>
    <x v="0"/>
    <s v="N.A."/>
    <d v="2024-10-15T00:00:00"/>
    <s v="N.A."/>
    <n v="1"/>
    <n v="2.406779661016949"/>
    <x v="0"/>
  </r>
  <r>
    <d v="2024-10-14T00:00:00"/>
    <s v="October-2024"/>
    <s v="U32593953"/>
    <x v="1"/>
    <s v="Delivered"/>
    <n v="70"/>
    <s v="Kanpur"/>
    <x v="4"/>
    <x v="0"/>
    <s v="N.A."/>
    <d v="2024-10-15T00:00:00"/>
    <s v="N.A."/>
    <n v="1"/>
    <n v="2.406779661016949"/>
    <x v="0"/>
  </r>
  <r>
    <d v="2024-10-14T00:00:00"/>
    <s v="October-2024"/>
    <s v="U32593954"/>
    <x v="1"/>
    <s v="Delivered"/>
    <n v="70"/>
    <s v="Kanpur"/>
    <x v="4"/>
    <x v="0"/>
    <s v="N.A."/>
    <d v="2024-10-15T00:00:00"/>
    <s v="N.A."/>
    <n v="1"/>
    <n v="2.406779661016949"/>
    <x v="0"/>
  </r>
  <r>
    <d v="2024-10-14T00:00:00"/>
    <s v="October-2024"/>
    <s v="U32593955"/>
    <x v="1"/>
    <s v="Delivered"/>
    <n v="90"/>
    <s v="Kanpur"/>
    <x v="4"/>
    <x v="0"/>
    <s v="N.A."/>
    <d v="2024-10-15T00:00:00"/>
    <s v="N.A."/>
    <n v="1"/>
    <n v="2.406779661016949"/>
    <x v="0"/>
  </r>
  <r>
    <d v="2024-10-14T00:00:00"/>
    <s v="October-2024"/>
    <s v="U32593956"/>
    <x v="1"/>
    <s v="Delivered"/>
    <n v="70"/>
    <s v="Kanpur"/>
    <x v="4"/>
    <x v="0"/>
    <s v="N.A."/>
    <d v="2024-10-15T00:00:00"/>
    <s v="N.A."/>
    <n v="1"/>
    <n v="2.406779661016949"/>
    <x v="0"/>
  </r>
  <r>
    <d v="2024-10-14T00:00:00"/>
    <s v="October-2024"/>
    <s v="U32593957"/>
    <x v="1"/>
    <s v="Delivered"/>
    <n v="90"/>
    <s v="Kanpur"/>
    <x v="4"/>
    <x v="0"/>
    <s v="N.A."/>
    <d v="2024-10-15T00:00:00"/>
    <s v="N.A."/>
    <n v="1"/>
    <n v="2.406779661016949"/>
    <x v="0"/>
  </r>
  <r>
    <d v="2024-10-14T00:00:00"/>
    <s v="October-2024"/>
    <s v="U32593958"/>
    <x v="1"/>
    <s v="Delivered"/>
    <n v="90"/>
    <s v="Kanpur"/>
    <x v="4"/>
    <x v="0"/>
    <s v="N.A."/>
    <d v="2024-10-15T00:00:00"/>
    <s v="N.A."/>
    <n v="1"/>
    <n v="2.406779661016949"/>
    <x v="0"/>
  </r>
  <r>
    <d v="2024-10-14T00:00:00"/>
    <s v="October-2024"/>
    <s v="U32593959"/>
    <x v="1"/>
    <s v="Delivered"/>
    <n v="90"/>
    <s v="Kanpur"/>
    <x v="4"/>
    <x v="0"/>
    <s v="N.A."/>
    <d v="2024-10-15T00:00:00"/>
    <s v="N.A."/>
    <n v="1"/>
    <n v="2.406779661016949"/>
    <x v="0"/>
  </r>
  <r>
    <d v="2024-10-14T00:00:00"/>
    <s v="October-2024"/>
    <s v="U32593960"/>
    <x v="1"/>
    <s v="Delivered"/>
    <n v="90"/>
    <s v="Kanpur"/>
    <x v="4"/>
    <x v="0"/>
    <s v="N.A."/>
    <d v="2024-10-15T00:00:00"/>
    <s v="N.A."/>
    <n v="1"/>
    <n v="2.406779661016949"/>
    <x v="0"/>
  </r>
  <r>
    <d v="2024-10-14T00:00:00"/>
    <s v="October-2024"/>
    <s v="U32593961"/>
    <x v="1"/>
    <s v="Delivered"/>
    <n v="90"/>
    <s v="Kanpur"/>
    <x v="4"/>
    <x v="0"/>
    <s v="N.A."/>
    <d v="2024-10-15T00:00:00"/>
    <s v="N.A."/>
    <n v="1"/>
    <n v="2.406779661016949"/>
    <x v="0"/>
  </r>
  <r>
    <d v="2024-10-14T00:00:00"/>
    <s v="October-2024"/>
    <s v="U32593962"/>
    <x v="1"/>
    <s v="Delivered"/>
    <n v="110"/>
    <s v="Kanpur"/>
    <x v="1"/>
    <x v="0"/>
    <s v="N.A."/>
    <d v="2024-10-15T00:00:00"/>
    <s v="N.A."/>
    <n v="1"/>
    <n v="1.7"/>
    <x v="0"/>
  </r>
  <r>
    <d v="2024-10-14T00:00:00"/>
    <s v="October-2024"/>
    <s v="U32593963"/>
    <x v="1"/>
    <s v="Delivered"/>
    <n v="90"/>
    <s v="Kanpur"/>
    <x v="4"/>
    <x v="0"/>
    <s v="N.A."/>
    <d v="2024-10-15T00:00:00"/>
    <s v="N.A."/>
    <n v="1"/>
    <n v="2.406779661016949"/>
    <x v="0"/>
  </r>
  <r>
    <d v="2024-10-14T00:00:00"/>
    <s v="October-2024"/>
    <s v="U32593964"/>
    <x v="1"/>
    <s v="Delivered"/>
    <n v="70"/>
    <s v="Kanpur"/>
    <x v="4"/>
    <x v="0"/>
    <s v="N.A."/>
    <d v="2024-10-15T00:00:00"/>
    <s v="N.A."/>
    <n v="1"/>
    <n v="2.406779661016949"/>
    <x v="0"/>
  </r>
  <r>
    <d v="2024-10-14T00:00:00"/>
    <s v="October-2024"/>
    <s v="U32593965"/>
    <x v="1"/>
    <s v="Delivered"/>
    <n v="90"/>
    <s v="Kanpur"/>
    <x v="4"/>
    <x v="0"/>
    <s v="N.A."/>
    <d v="2024-10-15T00:00:00"/>
    <s v="N.A."/>
    <n v="1"/>
    <n v="2.406779661016949"/>
    <x v="0"/>
  </r>
  <r>
    <d v="2024-10-14T00:00:00"/>
    <s v="October-2024"/>
    <s v="U32593966"/>
    <x v="1"/>
    <s v="Delivered"/>
    <n v="90"/>
    <s v="Kanpur"/>
    <x v="4"/>
    <x v="0"/>
    <s v="N.A."/>
    <d v="2024-10-15T00:00:00"/>
    <s v="N.A."/>
    <n v="1"/>
    <n v="2.406779661016949"/>
    <x v="0"/>
  </r>
  <r>
    <d v="2024-10-14T00:00:00"/>
    <s v="October-2024"/>
    <s v="U32593967"/>
    <x v="1"/>
    <s v="Delivered"/>
    <n v="90"/>
    <s v="Kanpur"/>
    <x v="4"/>
    <x v="0"/>
    <s v="N.A."/>
    <d v="2024-10-15T00:00:00"/>
    <s v="N.A."/>
    <n v="1"/>
    <n v="2.406779661016949"/>
    <x v="0"/>
  </r>
  <r>
    <d v="2024-10-14T00:00:00"/>
    <s v="October-2024"/>
    <s v="U32593968"/>
    <x v="1"/>
    <s v="Delivered"/>
    <n v="90"/>
    <s v="Kanpur"/>
    <x v="4"/>
    <x v="0"/>
    <s v="N.A."/>
    <d v="2024-10-15T00:00:00"/>
    <s v="N.A."/>
    <n v="1"/>
    <n v="2.406779661016949"/>
    <x v="0"/>
  </r>
  <r>
    <d v="2024-10-14T00:00:00"/>
    <s v="October-2024"/>
    <s v="U32593969"/>
    <x v="1"/>
    <s v="Delivered"/>
    <n v="70"/>
    <s v="Kanpur"/>
    <x v="3"/>
    <x v="0"/>
    <s v="N.A."/>
    <d v="2024-10-15T00:00:00"/>
    <s v="N.A."/>
    <n v="1"/>
    <n v="2.0555555555555554"/>
    <x v="0"/>
  </r>
  <r>
    <d v="2024-10-14T00:00:00"/>
    <s v="October-2024"/>
    <s v="U32593970"/>
    <x v="1"/>
    <s v="Delivered"/>
    <n v="90"/>
    <s v="Kanpur"/>
    <x v="1"/>
    <x v="0"/>
    <s v="N.A."/>
    <d v="2024-10-16T00:00:00"/>
    <s v="N.A."/>
    <n v="2"/>
    <n v="1.7"/>
    <x v="1"/>
  </r>
  <r>
    <d v="2024-10-14T00:00:00"/>
    <s v="October-2024"/>
    <s v="U32593971"/>
    <x v="1"/>
    <s v="Delivered"/>
    <n v="70"/>
    <s v="Kanpur"/>
    <x v="4"/>
    <x v="0"/>
    <s v="N.A."/>
    <d v="2024-10-15T00:00:00"/>
    <s v="N.A."/>
    <n v="1"/>
    <n v="2.406779661016949"/>
    <x v="0"/>
  </r>
  <r>
    <d v="2024-10-14T00:00:00"/>
    <s v="October-2024"/>
    <s v="U32593972"/>
    <x v="1"/>
    <s v="Delivered"/>
    <n v="70"/>
    <s v="Kanpur"/>
    <x v="4"/>
    <x v="0"/>
    <s v="N.A."/>
    <d v="2024-10-15T00:00:00"/>
    <s v="N.A."/>
    <n v="1"/>
    <n v="2.406779661016949"/>
    <x v="0"/>
  </r>
  <r>
    <d v="2024-10-14T00:00:00"/>
    <s v="October-2024"/>
    <s v="U32593973"/>
    <x v="1"/>
    <s v="Delivered"/>
    <n v="90"/>
    <s v="Kanpur"/>
    <x v="4"/>
    <x v="0"/>
    <s v="N.A."/>
    <d v="2024-10-15T00:00:00"/>
    <s v="N.A."/>
    <n v="1"/>
    <n v="2.406779661016949"/>
    <x v="0"/>
  </r>
  <r>
    <d v="2024-10-14T00:00:00"/>
    <s v="October-2024"/>
    <s v="U32593974"/>
    <x v="1"/>
    <s v="Delivered"/>
    <n v="120"/>
    <s v="Kanpur"/>
    <x v="3"/>
    <x v="0"/>
    <s v="N.A."/>
    <d v="2024-10-15T00:00:00"/>
    <s v="N.A."/>
    <n v="1"/>
    <n v="2.0555555555555554"/>
    <x v="0"/>
  </r>
  <r>
    <d v="2024-10-14T00:00:00"/>
    <s v="October-2024"/>
    <s v="U32593975"/>
    <x v="1"/>
    <s v="Delivered"/>
    <n v="90"/>
    <s v="Kanpur"/>
    <x v="1"/>
    <x v="0"/>
    <s v="N.A."/>
    <d v="2024-10-16T00:00:00"/>
    <s v="N.A."/>
    <n v="2"/>
    <n v="1.7"/>
    <x v="1"/>
  </r>
  <r>
    <d v="2024-10-14T00:00:00"/>
    <s v="October-2024"/>
    <s v="U32593976"/>
    <x v="1"/>
    <s v="Delivered"/>
    <n v="140"/>
    <s v="Kanpur"/>
    <x v="7"/>
    <x v="0"/>
    <s v="N.A."/>
    <d v="2024-10-16T00:00:00"/>
    <s v="N.A."/>
    <n v="2"/>
    <n v="3.4"/>
    <x v="0"/>
  </r>
  <r>
    <d v="2024-10-14T00:00:00"/>
    <s v="October-2024"/>
    <s v="U32593977"/>
    <x v="1"/>
    <s v="Delivered"/>
    <n v="90"/>
    <s v="Kanpur"/>
    <x v="23"/>
    <x v="0"/>
    <s v="N.A."/>
    <d v="2024-10-16T00:00:00"/>
    <s v="N.A."/>
    <n v="2"/>
    <n v="2.1666666666666665"/>
    <x v="0"/>
  </r>
  <r>
    <d v="2024-10-14T00:00:00"/>
    <s v="October-2024"/>
    <s v="U32593978"/>
    <x v="1"/>
    <s v="Delivered"/>
    <n v="120"/>
    <s v="Kanpur"/>
    <x v="1"/>
    <x v="0"/>
    <s v="N.A."/>
    <d v="2024-10-16T00:00:00"/>
    <s v="N.A."/>
    <n v="2"/>
    <n v="1.7"/>
    <x v="1"/>
  </r>
  <r>
    <d v="2024-10-14T00:00:00"/>
    <s v="October-2024"/>
    <s v="U32593979"/>
    <x v="1"/>
    <s v="Delivered"/>
    <n v="480"/>
    <s v="Kanpur"/>
    <x v="40"/>
    <x v="0"/>
    <s v="Clothes"/>
    <d v="2024-10-17T00:00:00"/>
    <s v="N.A."/>
    <n v="3"/>
    <n v="3"/>
    <x v="0"/>
  </r>
  <r>
    <d v="2024-10-14T00:00:00"/>
    <s v="October-2024"/>
    <s v="U32593980"/>
    <x v="1"/>
    <s v="Delivered"/>
    <n v="230"/>
    <s v="Kanpur"/>
    <x v="2"/>
    <x v="0"/>
    <s v="N.A."/>
    <d v="2024-10-15T00:00:00"/>
    <s v="N.A."/>
    <n v="1"/>
    <n v="2.1428571428571428"/>
    <x v="0"/>
  </r>
  <r>
    <d v="2024-10-15T00:00:00"/>
    <s v="October-2024"/>
    <s v="D93994459"/>
    <x v="1"/>
    <s v="Delivered"/>
    <n v="650"/>
    <s v="Kanpur"/>
    <x v="15"/>
    <x v="1"/>
    <s v="N.A."/>
    <d v="2024-10-17T00:00:00"/>
    <s v="N.A."/>
    <n v="2"/>
    <n v="2.3333333333333335"/>
    <x v="0"/>
  </r>
  <r>
    <d v="2024-10-15T00:00:00"/>
    <s v="October-2024"/>
    <s v="D93994460"/>
    <x v="1"/>
    <s v="Delivered"/>
    <n v="670"/>
    <s v="Kanpur"/>
    <x v="9"/>
    <x v="1"/>
    <s v="N.A."/>
    <d v="2024-10-20T00:00:00"/>
    <s v="N.A."/>
    <n v="5"/>
    <n v="3.5185185185185186"/>
    <x v="1"/>
  </r>
  <r>
    <d v="2024-10-15T00:00:00"/>
    <s v="October-2024"/>
    <s v="V85940506"/>
    <x v="0"/>
    <s v="Delivered"/>
    <n v="1150"/>
    <s v="Kanpur"/>
    <x v="41"/>
    <x v="0"/>
    <s v="N.A."/>
    <d v="2024-10-17T00:00:00"/>
    <s v="N.A."/>
    <n v="2"/>
    <n v="2"/>
    <x v="0"/>
  </r>
  <r>
    <d v="2024-10-15T00:00:00"/>
    <s v="October-2024"/>
    <s v="V85940507"/>
    <x v="0"/>
    <s v="Delivered"/>
    <n v="650"/>
    <s v="Kanpur"/>
    <x v="2"/>
    <x v="0"/>
    <s v="N.A."/>
    <d v="2024-10-16T00:00:00"/>
    <s v="N.A."/>
    <n v="1"/>
    <n v="2.1428571428571428"/>
    <x v="0"/>
  </r>
  <r>
    <d v="2024-10-16T00:00:00"/>
    <s v="October-2024"/>
    <s v="D93994461"/>
    <x v="1"/>
    <s v="Delivered"/>
    <n v="450"/>
    <s v="Kanpur"/>
    <x v="42"/>
    <x v="1"/>
    <s v="N.A."/>
    <d v="2024-10-19T00:00:00"/>
    <s v="N.A."/>
    <n v="3"/>
    <n v="3"/>
    <x v="0"/>
  </r>
  <r>
    <d v="2024-10-16T00:00:00"/>
    <s v="October-2024"/>
    <s v="D93994462"/>
    <x v="1"/>
    <s v="Delivered"/>
    <n v="760"/>
    <s v="Kanpur"/>
    <x v="7"/>
    <x v="1"/>
    <s v="N.A."/>
    <d v="2024-10-22T00:00:00"/>
    <s v="N.A."/>
    <n v="6"/>
    <n v="3.4"/>
    <x v="1"/>
  </r>
  <r>
    <d v="2024-10-18T00:00:00"/>
    <s v="October-2024"/>
    <s v="D93994463"/>
    <x v="1"/>
    <s v="Delivered"/>
    <n v="1000"/>
    <s v="Kanpur"/>
    <x v="3"/>
    <x v="1"/>
    <s v="N.A."/>
    <d v="2024-10-21T00:00:00"/>
    <s v="N.A."/>
    <n v="3"/>
    <n v="2.0555555555555554"/>
    <x v="1"/>
  </r>
  <r>
    <d v="2024-10-19T00:00:00"/>
    <s v="October-2024"/>
    <s v="V85940508"/>
    <x v="0"/>
    <s v="Delivered"/>
    <n v="490"/>
    <s v="Kanpur"/>
    <x v="3"/>
    <x v="0"/>
    <s v="N.A."/>
    <d v="2024-10-22T00:00:00"/>
    <s v="N.A."/>
    <n v="3"/>
    <n v="2.0555555555555554"/>
    <x v="1"/>
  </r>
  <r>
    <d v="2024-10-21T00:00:00"/>
    <s v="October-2024"/>
    <s v="D93994464"/>
    <x v="1"/>
    <s v="Delivered"/>
    <n v="1050"/>
    <s v="Kanpur"/>
    <x v="43"/>
    <x v="1"/>
    <s v="N.A."/>
    <d v="2024-10-24T00:00:00"/>
    <s v="N.A."/>
    <n v="3"/>
    <n v="3"/>
    <x v="0"/>
  </r>
  <r>
    <d v="2024-10-21T00:00:00"/>
    <s v="October-2024"/>
    <s v="U32594040"/>
    <x v="1"/>
    <s v="Delivered"/>
    <n v="110"/>
    <s v="Kanpur"/>
    <x v="1"/>
    <x v="0"/>
    <s v="N.A."/>
    <d v="2024-10-22T00:00:00"/>
    <s v="N.A."/>
    <n v="1"/>
    <n v="1.7"/>
    <x v="0"/>
  </r>
  <r>
    <d v="2024-10-21T00:00:00"/>
    <s v="October-2024"/>
    <s v="U32594041"/>
    <x v="1"/>
    <s v="Delivered"/>
    <n v="110"/>
    <s v="Kanpur"/>
    <x v="1"/>
    <x v="0"/>
    <s v="N.A."/>
    <d v="2024-10-22T00:00:00"/>
    <s v="N.A."/>
    <n v="1"/>
    <n v="1.7"/>
    <x v="0"/>
  </r>
  <r>
    <d v="2024-10-21T00:00:00"/>
    <s v="October-2024"/>
    <s v="U32594042"/>
    <x v="1"/>
    <s v="Delivered"/>
    <n v="540"/>
    <s v="Kanpur"/>
    <x v="1"/>
    <x v="0"/>
    <s v="N.A."/>
    <d v="2024-10-22T00:00:00"/>
    <s v="N.A."/>
    <n v="1"/>
    <n v="1.7"/>
    <x v="0"/>
  </r>
  <r>
    <d v="2024-10-21T00:00:00"/>
    <s v="October-2024"/>
    <s v="U32594043"/>
    <x v="1"/>
    <s v="Delivered"/>
    <n v="150"/>
    <s v="Kanpur"/>
    <x v="7"/>
    <x v="0"/>
    <s v="Empty Box"/>
    <d v="2024-10-23T00:00:00"/>
    <s v="N.A."/>
    <n v="2"/>
    <n v="3.4"/>
    <x v="0"/>
  </r>
  <r>
    <d v="2024-10-21T00:00:00"/>
    <s v="October-2024"/>
    <s v="U32594044"/>
    <x v="1"/>
    <s v="Delivered"/>
    <n v="90"/>
    <s v="Kanpur"/>
    <x v="4"/>
    <x v="0"/>
    <s v="N.A."/>
    <d v="2024-10-22T00:00:00"/>
    <s v="N.A."/>
    <n v="1"/>
    <n v="2.406779661016949"/>
    <x v="0"/>
  </r>
  <r>
    <d v="2024-10-22T00:00:00"/>
    <s v="October-2024"/>
    <s v="D93994465"/>
    <x v="1"/>
    <s v="Delivered"/>
    <n v="340"/>
    <s v="Kanpur"/>
    <x v="12"/>
    <x v="1"/>
    <s v="N.A."/>
    <d v="2024-10-23T00:00:00"/>
    <s v="N.A."/>
    <n v="1"/>
    <n v="1.5"/>
    <x v="0"/>
  </r>
  <r>
    <d v="2024-10-22T00:00:00"/>
    <s v="October-2024"/>
    <s v="D93994466"/>
    <x v="1"/>
    <s v="Delivered"/>
    <n v="480"/>
    <s v="Kanpur"/>
    <x v="9"/>
    <x v="1"/>
    <s v="N.A."/>
    <d v="2024-10-30T00:00:00"/>
    <s v="N.A."/>
    <n v="8"/>
    <n v="3.5185185185185186"/>
    <x v="1"/>
  </r>
  <r>
    <d v="2024-10-22T00:00:00"/>
    <s v="October-2024"/>
    <s v="D93994467"/>
    <x v="1"/>
    <s v="Delivered"/>
    <n v="520"/>
    <s v="Kanpur"/>
    <x v="9"/>
    <x v="1"/>
    <s v="N.A."/>
    <d v="2024-10-27T00:00:00"/>
    <s v="N.A."/>
    <n v="5"/>
    <n v="3.5185185185185186"/>
    <x v="1"/>
  </r>
  <r>
    <d v="2024-10-22T00:00:00"/>
    <s v="October-2024"/>
    <s v="D93994468"/>
    <x v="1"/>
    <s v="Delivered"/>
    <n v="1350"/>
    <s v="Kanpur"/>
    <x v="44"/>
    <x v="1"/>
    <s v="N.A."/>
    <d v="2024-10-26T00:00:00"/>
    <s v="N.A."/>
    <n v="4"/>
    <n v="4"/>
    <x v="0"/>
  </r>
  <r>
    <d v="2024-10-22T00:00:00"/>
    <s v="October-2024"/>
    <s v="V85940509"/>
    <x v="0"/>
    <s v="Delivered"/>
    <n v="320"/>
    <s v="Kanpur"/>
    <x v="7"/>
    <x v="0"/>
    <s v="N.A."/>
    <d v="2024-10-24T00:00:00"/>
    <s v="N.A."/>
    <n v="2"/>
    <n v="3.4"/>
    <x v="0"/>
  </r>
  <r>
    <d v="2024-10-23T00:00:00"/>
    <s v="October-2024"/>
    <s v="U32594073"/>
    <x v="1"/>
    <s v="Delivered"/>
    <n v="70"/>
    <s v="Kanpur"/>
    <x v="4"/>
    <x v="0"/>
    <s v="N.A."/>
    <d v="2024-10-24T00:00:00"/>
    <s v="N.A."/>
    <n v="1"/>
    <n v="2.406779661016949"/>
    <x v="0"/>
  </r>
  <r>
    <d v="2024-10-23T00:00:00"/>
    <s v="October-2024"/>
    <s v="U32594074"/>
    <x v="1"/>
    <s v="Delivered"/>
    <n v="70"/>
    <s v="Kanpur"/>
    <x v="4"/>
    <x v="0"/>
    <s v="N.A."/>
    <d v="2024-10-24T00:00:00"/>
    <s v="N.A."/>
    <n v="1"/>
    <n v="2.406779661016949"/>
    <x v="0"/>
  </r>
  <r>
    <d v="2024-10-23T00:00:00"/>
    <s v="October-2024"/>
    <s v="U32594075"/>
    <x v="1"/>
    <s v="Delivered"/>
    <n v="90"/>
    <s v="Kanpur"/>
    <x v="4"/>
    <x v="0"/>
    <s v="N.A."/>
    <d v="2024-10-24T00:00:00"/>
    <s v="N.A."/>
    <n v="1"/>
    <n v="2.406779661016949"/>
    <x v="0"/>
  </r>
  <r>
    <d v="2024-10-23T00:00:00"/>
    <s v="October-2024"/>
    <s v="U32594076"/>
    <x v="1"/>
    <s v="Delivered"/>
    <n v="90"/>
    <s v="Kanpur"/>
    <x v="4"/>
    <x v="0"/>
    <s v="N.A."/>
    <d v="2024-10-24T00:00:00"/>
    <s v="N.A."/>
    <n v="1"/>
    <n v="2.406779661016949"/>
    <x v="0"/>
  </r>
  <r>
    <d v="2024-10-23T00:00:00"/>
    <s v="October-2024"/>
    <s v="U32594077"/>
    <x v="1"/>
    <s v="Delivered"/>
    <n v="140"/>
    <s v="Kanpur"/>
    <x v="16"/>
    <x v="0"/>
    <s v="N.A."/>
    <d v="2024-10-26T00:00:00"/>
    <s v="N.A."/>
    <n v="3"/>
    <n v="4.5999999999999996"/>
    <x v="0"/>
  </r>
  <r>
    <d v="2024-10-23T00:00:00"/>
    <s v="October-2024"/>
    <s v="U32594078"/>
    <x v="1"/>
    <s v="Delivered"/>
    <n v="140"/>
    <s v="Kanpur"/>
    <x v="16"/>
    <x v="0"/>
    <s v="N.A."/>
    <d v="2024-10-26T00:00:00"/>
    <s v="N.A."/>
    <n v="3"/>
    <n v="4.5999999999999996"/>
    <x v="0"/>
  </r>
  <r>
    <d v="2024-10-23T00:00:00"/>
    <s v="October-2024"/>
    <s v="U32594079"/>
    <x v="1"/>
    <s v="Delivered"/>
    <n v="90"/>
    <s v="Kanpur"/>
    <x v="3"/>
    <x v="0"/>
    <s v="N.A."/>
    <d v="2024-10-25T00:00:00"/>
    <s v="N.A."/>
    <n v="2"/>
    <n v="2.0555555555555554"/>
    <x v="0"/>
  </r>
  <r>
    <d v="2024-10-23T00:00:00"/>
    <s v="October-2024"/>
    <s v="U32594080"/>
    <x v="1"/>
    <s v="Delivered"/>
    <n v="170"/>
    <s v="Kanpur"/>
    <x v="10"/>
    <x v="0"/>
    <s v="N.A."/>
    <d v="2024-10-28T00:00:00"/>
    <s v="N.A."/>
    <n v="5"/>
    <n v="3.6"/>
    <x v="1"/>
  </r>
  <r>
    <d v="2024-10-23T00:00:00"/>
    <s v="October-2024"/>
    <s v="U32594081"/>
    <x v="1"/>
    <s v="Delivered"/>
    <n v="90"/>
    <s v="Kanpur"/>
    <x v="1"/>
    <x v="0"/>
    <s v="N.A."/>
    <d v="2024-10-25T00:00:00"/>
    <s v="N.A."/>
    <n v="2"/>
    <n v="1.7"/>
    <x v="1"/>
  </r>
  <r>
    <d v="2024-10-23T00:00:00"/>
    <s v="October-2024"/>
    <s v="V85940510"/>
    <x v="0"/>
    <s v="Delivered"/>
    <n v="540"/>
    <s v="Kanpur"/>
    <x v="45"/>
    <x v="0"/>
    <s v="N.A."/>
    <d v="2024-10-26T00:00:00"/>
    <s v="N.A."/>
    <n v="3"/>
    <n v="3"/>
    <x v="0"/>
  </r>
  <r>
    <d v="2024-10-23T00:00:00"/>
    <s v="October-2024"/>
    <s v="V85940511"/>
    <x v="0"/>
    <s v="Delivered"/>
    <n v="310"/>
    <s v="Kanpur"/>
    <x v="9"/>
    <x v="0"/>
    <s v="N.A."/>
    <d v="2024-10-25T00:00:00"/>
    <s v="N.A."/>
    <n v="2"/>
    <n v="3.5185185185185186"/>
    <x v="0"/>
  </r>
  <r>
    <d v="2024-10-24T00:00:00"/>
    <s v="October-2024"/>
    <s v="U32594082"/>
    <x v="1"/>
    <s v="Delivered"/>
    <n v="90"/>
    <s v="Kanpur"/>
    <x v="1"/>
    <x v="0"/>
    <s v="N.A."/>
    <d v="2024-10-25T00:00:00"/>
    <s v="N.A."/>
    <n v="1"/>
    <n v="1.7"/>
    <x v="0"/>
  </r>
  <r>
    <d v="2024-10-24T00:00:00"/>
    <s v="October-2024"/>
    <s v="U32594083"/>
    <x v="1"/>
    <s v="Delivered"/>
    <n v="1070"/>
    <s v="Kanpur"/>
    <x v="1"/>
    <x v="0"/>
    <s v="Clothes"/>
    <d v="2024-10-26T00:00:00"/>
    <s v="N.A."/>
    <n v="2"/>
    <n v="1.7"/>
    <x v="1"/>
  </r>
  <r>
    <d v="2024-10-24T00:00:00"/>
    <s v="October-2024"/>
    <s v="U32594084"/>
    <x v="1"/>
    <s v="Delivered"/>
    <n v="90"/>
    <s v="Kanpur"/>
    <x v="3"/>
    <x v="0"/>
    <s v="N.A."/>
    <d v="2024-10-26T00:00:00"/>
    <s v="N.A."/>
    <n v="2"/>
    <n v="2.0555555555555554"/>
    <x v="0"/>
  </r>
  <r>
    <d v="2024-10-24T00:00:00"/>
    <s v="October-2024"/>
    <s v="U32594085"/>
    <x v="1"/>
    <s v="Delivered"/>
    <n v="150"/>
    <s v="Kanpur"/>
    <x v="1"/>
    <x v="0"/>
    <s v="N.A."/>
    <d v="2024-10-26T00:00:00"/>
    <s v="N.A."/>
    <n v="2"/>
    <n v="1.7"/>
    <x v="1"/>
  </r>
  <r>
    <d v="2024-10-24T00:00:00"/>
    <s v="October-2024"/>
    <s v="U32594086"/>
    <x v="1"/>
    <s v="Delivered"/>
    <n v="540"/>
    <s v="Kanpur"/>
    <x v="23"/>
    <x v="0"/>
    <s v="N.A."/>
    <d v="2024-10-26T00:00:00"/>
    <s v="N.A."/>
    <n v="2"/>
    <n v="2.1666666666666665"/>
    <x v="0"/>
  </r>
  <r>
    <d v="2024-10-24T00:00:00"/>
    <s v="October-2024"/>
    <s v="U32594087"/>
    <x v="1"/>
    <s v="Delivered"/>
    <n v="750"/>
    <s v="Kanpur"/>
    <x v="10"/>
    <x v="0"/>
    <s v="N.A."/>
    <d v="2024-10-27T00:00:00"/>
    <s v="N.A."/>
    <n v="3"/>
    <n v="3.6"/>
    <x v="0"/>
  </r>
  <r>
    <d v="2024-10-24T00:00:00"/>
    <s v="October-2024"/>
    <s v="V85940512"/>
    <x v="0"/>
    <s v="Delivered"/>
    <n v="390"/>
    <s v="Kanpur"/>
    <x v="46"/>
    <x v="0"/>
    <s v="N.A."/>
    <d v="2024-10-28T00:00:00"/>
    <s v="N.A."/>
    <n v="4"/>
    <n v="4"/>
    <x v="0"/>
  </r>
  <r>
    <d v="2024-10-24T00:00:00"/>
    <s v="October-2024"/>
    <s v="V85940513"/>
    <x v="0"/>
    <s v="Delivered"/>
    <n v="310"/>
    <s v="Kanpur"/>
    <x v="1"/>
    <x v="0"/>
    <s v="N.A."/>
    <d v="2024-10-25T00:00:00"/>
    <s v="N.A."/>
    <n v="1"/>
    <n v="1.7"/>
    <x v="0"/>
  </r>
  <r>
    <d v="2024-10-25T00:00:00"/>
    <s v="October-2024"/>
    <s v="U32594088"/>
    <x v="1"/>
    <s v="Delivered"/>
    <n v="150"/>
    <s v="Kanpur"/>
    <x v="47"/>
    <x v="0"/>
    <s v="Cup"/>
    <d v="2024-10-30T00:00:00"/>
    <s v="N.A."/>
    <n v="5"/>
    <n v="5"/>
    <x v="0"/>
  </r>
  <r>
    <d v="2024-10-25T00:00:00"/>
    <s v="October-2024"/>
    <s v="U32594089"/>
    <x v="1"/>
    <s v="Delivered"/>
    <n v="150"/>
    <s v="Kanpur"/>
    <x v="4"/>
    <x v="0"/>
    <s v="N.A."/>
    <d v="2024-10-26T00:00:00"/>
    <s v="N.A."/>
    <n v="1"/>
    <n v="2.406779661016949"/>
    <x v="0"/>
  </r>
  <r>
    <d v="2024-10-25T00:00:00"/>
    <s v="October-2024"/>
    <s v="U32594090"/>
    <x v="1"/>
    <s v="Delivered"/>
    <n v="380"/>
    <s v="Kanpur"/>
    <x v="1"/>
    <x v="0"/>
    <s v="Gift"/>
    <d v="2024-10-28T00:00:00"/>
    <s v="N.A."/>
    <n v="3"/>
    <n v="1.7"/>
    <x v="1"/>
  </r>
  <r>
    <d v="2024-10-25T00:00:00"/>
    <s v="October-2024"/>
    <s v="U32594091"/>
    <x v="1"/>
    <s v="Delivered"/>
    <n v="650"/>
    <s v="Kanpur"/>
    <x v="48"/>
    <x v="0"/>
    <s v="N.A."/>
    <d v="2024-10-31T00:00:00"/>
    <s v="N.A."/>
    <n v="6"/>
    <n v="6"/>
    <x v="0"/>
  </r>
  <r>
    <d v="2024-10-25T00:00:00"/>
    <s v="October-2024"/>
    <s v="U32594092"/>
    <x v="1"/>
    <s v="Delivered"/>
    <n v="90"/>
    <s v="Kanpur"/>
    <x v="4"/>
    <x v="0"/>
    <s v="N.A."/>
    <d v="2024-10-28T00:00:00"/>
    <s v="N.A."/>
    <n v="3"/>
    <n v="2.406779661016949"/>
    <x v="1"/>
  </r>
  <r>
    <d v="2024-10-25T00:00:00"/>
    <s v="October-2024"/>
    <s v="U32594093"/>
    <x v="1"/>
    <s v="Delivered"/>
    <n v="70"/>
    <s v="Kanpur"/>
    <x v="4"/>
    <x v="0"/>
    <s v="N.A."/>
    <d v="2024-10-28T00:00:00"/>
    <s v="N.A."/>
    <n v="3"/>
    <n v="2.406779661016949"/>
    <x v="1"/>
  </r>
  <r>
    <d v="2024-10-25T00:00:00"/>
    <s v="October-2024"/>
    <s v="U32594094"/>
    <x v="1"/>
    <s v="Delivered"/>
    <n v="70"/>
    <s v="Kanpur"/>
    <x v="4"/>
    <x v="0"/>
    <s v="N.A."/>
    <d v="2024-10-28T00:00:00"/>
    <s v="N.A."/>
    <n v="3"/>
    <n v="2.406779661016949"/>
    <x v="1"/>
  </r>
  <r>
    <d v="2024-10-25T00:00:00"/>
    <s v="October-2024"/>
    <s v="U32594095"/>
    <x v="1"/>
    <s v="Delivered"/>
    <n v="90"/>
    <s v="Kanpur"/>
    <x v="4"/>
    <x v="0"/>
    <s v="N.A."/>
    <d v="2024-10-28T00:00:00"/>
    <s v="N.A."/>
    <n v="3"/>
    <n v="2.406779661016949"/>
    <x v="1"/>
  </r>
  <r>
    <d v="2024-10-25T00:00:00"/>
    <s v="October-2024"/>
    <s v="U32594096"/>
    <x v="1"/>
    <s v="Delivered"/>
    <n v="70"/>
    <s v="Kanpur"/>
    <x v="4"/>
    <x v="0"/>
    <s v="N.A."/>
    <d v="2024-10-28T00:00:00"/>
    <s v="N.A."/>
    <n v="3"/>
    <n v="2.406779661016949"/>
    <x v="1"/>
  </r>
  <r>
    <d v="2024-10-25T00:00:00"/>
    <s v="October-2024"/>
    <s v="U32594097"/>
    <x v="1"/>
    <s v="Delivered"/>
    <n v="90"/>
    <s v="Kanpur"/>
    <x v="4"/>
    <x v="0"/>
    <s v="N.A."/>
    <d v="2024-10-28T00:00:00"/>
    <s v="N.A."/>
    <n v="3"/>
    <n v="2.406779661016949"/>
    <x v="1"/>
  </r>
  <r>
    <d v="2024-10-25T00:00:00"/>
    <s v="October-2024"/>
    <s v="U32594098"/>
    <x v="1"/>
    <s v="Delivered"/>
    <n v="90"/>
    <s v="Kanpur"/>
    <x v="3"/>
    <x v="0"/>
    <s v="N.A."/>
    <d v="2024-10-28T00:00:00"/>
    <s v="N.A."/>
    <n v="3"/>
    <n v="2.0555555555555554"/>
    <x v="1"/>
  </r>
  <r>
    <d v="2024-10-25T00:00:00"/>
    <s v="October-2024"/>
    <s v="U32594099"/>
    <x v="1"/>
    <s v="Delivered"/>
    <n v="150"/>
    <s v="Kanpur"/>
    <x v="49"/>
    <x v="0"/>
    <s v="N.A."/>
    <d v="2024-11-04T00:00:00"/>
    <s v="N.A."/>
    <n v="10"/>
    <n v="10"/>
    <x v="0"/>
  </r>
  <r>
    <d v="2024-10-25T00:00:00"/>
    <s v="October-2024"/>
    <s v="U32594100"/>
    <x v="1"/>
    <s v="Delivered"/>
    <n v="210"/>
    <s v="Kanpur"/>
    <x v="50"/>
    <x v="0"/>
    <s v="N.A."/>
    <d v="2024-10-28T00:00:00"/>
    <s v="N.A."/>
    <n v="3"/>
    <n v="3"/>
    <x v="0"/>
  </r>
  <r>
    <d v="2024-10-26T00:00:00"/>
    <s v="October-2024"/>
    <s v="U32594101"/>
    <x v="1"/>
    <s v="Returned"/>
    <n v="360"/>
    <s v="Kanpur"/>
    <x v="51"/>
    <x v="0"/>
    <s v="N.A."/>
    <d v="2024-10-29T00:00:00"/>
    <d v="2024-11-14T00:00:00"/>
    <s v=""/>
    <m/>
    <x v="2"/>
  </r>
  <r>
    <d v="2024-10-26T00:00:00"/>
    <s v="October-2024"/>
    <s v="U32594102"/>
    <x v="1"/>
    <s v="Delivered"/>
    <n v="150"/>
    <s v="Kanpur"/>
    <x v="1"/>
    <x v="0"/>
    <s v="N.A."/>
    <d v="2024-10-29T00:00:00"/>
    <s v="N.A."/>
    <n v="3"/>
    <n v="1.7"/>
    <x v="1"/>
  </r>
  <r>
    <d v="2024-10-26T00:00:00"/>
    <s v="October-2024"/>
    <s v="U32594103"/>
    <x v="1"/>
    <s v="Delivered"/>
    <n v="120"/>
    <s v="Kanpur"/>
    <x v="23"/>
    <x v="0"/>
    <s v="Pooja Accessories"/>
    <d v="2024-10-29T00:00:00"/>
    <s v="N.A."/>
    <n v="3"/>
    <n v="2.1666666666666665"/>
    <x v="1"/>
  </r>
  <r>
    <d v="2024-10-26T00:00:00"/>
    <s v="October-2024"/>
    <s v="U32594104"/>
    <x v="1"/>
    <s v="Delivered"/>
    <n v="150"/>
    <s v="Kanpur"/>
    <x v="3"/>
    <x v="0"/>
    <s v="Clothes"/>
    <d v="2024-10-28T00:00:00"/>
    <s v="N.A."/>
    <n v="2"/>
    <n v="2.0555555555555554"/>
    <x v="0"/>
  </r>
  <r>
    <d v="2024-10-28T00:00:00"/>
    <s v="October-2024"/>
    <s v="V85940514"/>
    <x v="0"/>
    <s v="Delivered"/>
    <n v="250"/>
    <s v="Kanpur"/>
    <x v="3"/>
    <x v="0"/>
    <s v="N.A."/>
    <d v="2024-10-30T00:00:00"/>
    <s v="N.A."/>
    <n v="2"/>
    <n v="2.0555555555555554"/>
    <x v="0"/>
  </r>
  <r>
    <d v="2024-10-30T00:00:00"/>
    <s v="October-2024"/>
    <s v="V85940515"/>
    <x v="0"/>
    <s v="Delivered"/>
    <n v="240"/>
    <s v="Kanpur"/>
    <x v="52"/>
    <x v="0"/>
    <s v="N.A."/>
    <d v="2024-11-02T00:00:00"/>
    <s v="N.A."/>
    <n v="3"/>
    <n v="3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"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0"/>
  </r>
  <r>
    <x v="0"/>
  </r>
  <r>
    <x v="0"/>
  </r>
  <r>
    <x v="0"/>
  </r>
  <r>
    <x v="0"/>
  </r>
  <r>
    <x v="0"/>
  </r>
  <r>
    <x v="0"/>
  </r>
  <r>
    <x v="0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1"/>
  </r>
  <r>
    <x v="1"/>
  </r>
  <r>
    <x v="1"/>
  </r>
  <r>
    <x v="1"/>
  </r>
  <r>
    <x v="1"/>
  </r>
  <r>
    <x v="2"/>
  </r>
  <r>
    <x v="2"/>
  </r>
  <r>
    <x v="3"/>
  </r>
  <r>
    <x v="3"/>
  </r>
  <r>
    <x v="3"/>
  </r>
  <r>
    <x v="3"/>
  </r>
  <r>
    <x v="3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0"/>
  </r>
  <r>
    <x v="0"/>
  </r>
  <r>
    <x v="0"/>
  </r>
  <r>
    <x v="0"/>
  </r>
  <r>
    <x v="6"/>
  </r>
  <r>
    <x v="6"/>
  </r>
  <r>
    <x v="2"/>
  </r>
  <r>
    <x v="3"/>
  </r>
  <r>
    <x v="5"/>
  </r>
  <r>
    <x v="5"/>
  </r>
  <r>
    <x v="5"/>
  </r>
  <r>
    <x v="5"/>
  </r>
  <r>
    <x v="5"/>
  </r>
  <r>
    <x v="5"/>
  </r>
  <r>
    <x v="0"/>
  </r>
  <r>
    <x v="0"/>
  </r>
  <r>
    <x v="0"/>
  </r>
  <r>
    <x v="0"/>
  </r>
  <r>
    <x v="0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5"/>
  </r>
  <r>
    <x v="6"/>
  </r>
  <r>
    <x v="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x v="0"/>
    <s v="October-2024"/>
    <s v="V85748809"/>
    <s v="Express"/>
    <s v="Delivered"/>
    <n v="680"/>
  </r>
  <r>
    <x v="0"/>
    <s v="October-2024"/>
    <s v="V85748810"/>
    <s v="Express"/>
    <s v="Delivered"/>
    <n v="310"/>
  </r>
  <r>
    <x v="1"/>
    <s v="October-2024"/>
    <s v="U32167711"/>
    <s v="Standard"/>
    <s v="Delivered"/>
    <n v="320"/>
  </r>
  <r>
    <x v="1"/>
    <s v="October-2024"/>
    <s v="U32167712"/>
    <s v="Standard"/>
    <s v="Returned"/>
    <n v="140"/>
  </r>
  <r>
    <x v="1"/>
    <s v="October-2024"/>
    <s v="U32167713"/>
    <s v="Standard"/>
    <s v="Delivered"/>
    <n v="150"/>
  </r>
  <r>
    <x v="1"/>
    <s v="October-2024"/>
    <s v="U32167714"/>
    <s v="Standard"/>
    <s v="Delivered"/>
    <n v="100"/>
  </r>
  <r>
    <x v="1"/>
    <s v="October-2024"/>
    <s v="U32167715"/>
    <s v="Standard"/>
    <s v="Delivered"/>
    <n v="350"/>
  </r>
  <r>
    <x v="1"/>
    <s v="October-2024"/>
    <s v="U32167717"/>
    <s v="Standard"/>
    <s v="Delivered"/>
    <n v="230"/>
  </r>
  <r>
    <x v="1"/>
    <s v="October-2024"/>
    <s v="U32167718"/>
    <s v="Standard"/>
    <s v="Delivered"/>
    <n v="720"/>
  </r>
  <r>
    <x v="1"/>
    <s v="October-2024"/>
    <s v="U32167719"/>
    <s v="Standard"/>
    <s v="Delivered"/>
    <n v="90"/>
  </r>
  <r>
    <x v="1"/>
    <s v="October-2024"/>
    <s v="V85748812"/>
    <s v="Express"/>
    <s v="Delivered"/>
    <n v="270"/>
  </r>
  <r>
    <x v="1"/>
    <s v="October-2024"/>
    <s v="V85748813"/>
    <s v="Express"/>
    <s v="Delivered"/>
    <n v="500"/>
  </r>
  <r>
    <x v="2"/>
    <s v="October-2024"/>
    <s v="D93994451"/>
    <s v="Standard"/>
    <s v="Delivered"/>
    <n v="480"/>
  </r>
  <r>
    <x v="2"/>
    <s v="October-2024"/>
    <s v="U32167716"/>
    <s v="Standard"/>
    <s v="Delivered"/>
    <n v="90"/>
  </r>
  <r>
    <x v="2"/>
    <s v="October-2024"/>
    <s v="U32167720"/>
    <s v="Standard"/>
    <s v="Delivered"/>
    <n v="140"/>
  </r>
  <r>
    <x v="2"/>
    <s v="October-2024"/>
    <s v="U32167721"/>
    <s v="Standard"/>
    <s v="Delivered"/>
    <n v="140"/>
  </r>
  <r>
    <x v="2"/>
    <s v="October-2024"/>
    <s v="U32167722"/>
    <s v="Standard"/>
    <s v="Delivered"/>
    <n v="140"/>
  </r>
  <r>
    <x v="2"/>
    <s v="October-2024"/>
    <s v="U32167723"/>
    <s v="Standard"/>
    <s v="Delivered"/>
    <n v="140"/>
  </r>
  <r>
    <x v="2"/>
    <s v="October-2024"/>
    <s v="U32167724"/>
    <s v="Standard"/>
    <s v="Delivered"/>
    <n v="140"/>
  </r>
  <r>
    <x v="2"/>
    <s v="October-2024"/>
    <s v="U32167725"/>
    <s v="Standard"/>
    <s v="Delivered"/>
    <n v="140"/>
  </r>
  <r>
    <x v="2"/>
    <s v="October-2024"/>
    <s v="U32167726"/>
    <s v="Standard"/>
    <s v="Delivered"/>
    <n v="140"/>
  </r>
  <r>
    <x v="2"/>
    <s v="October-2024"/>
    <s v="U32167727"/>
    <s v="Standard"/>
    <s v="Delivered"/>
    <n v="140"/>
  </r>
  <r>
    <x v="2"/>
    <s v="October-2024"/>
    <s v="U32167728"/>
    <s v="Standard"/>
    <s v="Delivered"/>
    <n v="140"/>
  </r>
  <r>
    <x v="2"/>
    <s v="October-2024"/>
    <s v="U32167729"/>
    <s v="Standard"/>
    <s v="Delivered"/>
    <n v="170"/>
  </r>
  <r>
    <x v="2"/>
    <s v="October-2024"/>
    <s v="U32167730"/>
    <s v="Standard"/>
    <s v="Delivered"/>
    <n v="90"/>
  </r>
  <r>
    <x v="2"/>
    <s v="October-2024"/>
    <s v="U32167731"/>
    <s v="Standard"/>
    <s v="Delivered"/>
    <n v="140"/>
  </r>
  <r>
    <x v="2"/>
    <s v="October-2024"/>
    <s v="U32167732"/>
    <s v="Standard"/>
    <s v="Delivered"/>
    <n v="170"/>
  </r>
  <r>
    <x v="2"/>
    <s v="October-2024"/>
    <s v="U32167733"/>
    <s v="Standard"/>
    <s v="Delivered"/>
    <n v="70"/>
  </r>
  <r>
    <x v="2"/>
    <s v="October-2024"/>
    <s v="U32167734"/>
    <s v="Standard"/>
    <s v="Delivered"/>
    <n v="70"/>
  </r>
  <r>
    <x v="2"/>
    <s v="October-2024"/>
    <s v="U32167735"/>
    <s v="Standard"/>
    <s v="Delivered"/>
    <n v="70"/>
  </r>
  <r>
    <x v="2"/>
    <s v="October-2024"/>
    <s v="U32167736"/>
    <s v="Standard"/>
    <s v="Delivered"/>
    <n v="70"/>
  </r>
  <r>
    <x v="2"/>
    <s v="October-2024"/>
    <s v="U32167737"/>
    <s v="Standard"/>
    <s v="Delivered"/>
    <n v="70"/>
  </r>
  <r>
    <x v="2"/>
    <s v="October-2024"/>
    <s v="U32167738"/>
    <s v="Standard"/>
    <s v="Delivered"/>
    <n v="140"/>
  </r>
  <r>
    <x v="2"/>
    <s v="October-2024"/>
    <s v="U32167739"/>
    <s v="Standard"/>
    <s v="Delivered"/>
    <n v="110"/>
  </r>
  <r>
    <x v="2"/>
    <s v="October-2024"/>
    <s v="U32167740"/>
    <s v="Standard"/>
    <s v="Delivered"/>
    <n v="90"/>
  </r>
  <r>
    <x v="2"/>
    <s v="October-2024"/>
    <s v="U32167741"/>
    <s v="Standard"/>
    <s v="Delivered"/>
    <n v="250"/>
  </r>
  <r>
    <x v="2"/>
    <s v="October-2024"/>
    <s v="U32167742"/>
    <s v="Standard"/>
    <s v="Delivered"/>
    <n v="320"/>
  </r>
  <r>
    <x v="2"/>
    <s v="October-2024"/>
    <s v="V85748811"/>
    <s v="Express"/>
    <s v="Delivered"/>
    <n v="500"/>
  </r>
  <r>
    <x v="2"/>
    <s v="October-2024"/>
    <s v="V85748814"/>
    <s v="Express"/>
    <s v="Delivered"/>
    <n v="310"/>
  </r>
  <r>
    <x v="2"/>
    <s v="October-2024"/>
    <s v="V85748815"/>
    <s v="Express"/>
    <s v="Delivered"/>
    <n v="270"/>
  </r>
  <r>
    <x v="3"/>
    <s v="October-2024"/>
    <s v="D93994452"/>
    <s v="Standard"/>
    <s v="Delivered"/>
    <n v="640"/>
  </r>
  <r>
    <x v="3"/>
    <s v="October-2024"/>
    <s v="D93994453"/>
    <s v="Standard"/>
    <s v="Delivered"/>
    <n v="1000"/>
  </r>
  <r>
    <x v="3"/>
    <s v="October-2024"/>
    <s v="D93994454"/>
    <s v="Standard"/>
    <s v="Delivered"/>
    <n v="1540"/>
  </r>
  <r>
    <x v="3"/>
    <s v="October-2024"/>
    <s v="U32167743"/>
    <s v="Standard"/>
    <s v="Delivered"/>
    <n v="110"/>
  </r>
  <r>
    <x v="3"/>
    <s v="October-2024"/>
    <s v="U32167744"/>
    <s v="Standard"/>
    <s v="Delivered"/>
    <n v="210"/>
  </r>
  <r>
    <x v="3"/>
    <s v="October-2024"/>
    <s v="U32167745"/>
    <s v="Standard"/>
    <s v="Delivered"/>
    <n v="150"/>
  </r>
  <r>
    <x v="3"/>
    <s v="October-2024"/>
    <s v="U32167746"/>
    <s v="Standard"/>
    <s v="Delivered"/>
    <n v="350"/>
  </r>
  <r>
    <x v="3"/>
    <s v="October-2024"/>
    <s v="U32167747"/>
    <s v="Standard"/>
    <s v="Delivered"/>
    <n v="120"/>
  </r>
  <r>
    <x v="3"/>
    <s v="October-2024"/>
    <s v="U32167748"/>
    <s v="Standard"/>
    <s v="Delivered"/>
    <n v="90"/>
  </r>
  <r>
    <x v="3"/>
    <s v="October-2024"/>
    <s v="U32167749"/>
    <s v="Standard"/>
    <s v="Delivered"/>
    <n v="110"/>
  </r>
  <r>
    <x v="3"/>
    <s v="October-2024"/>
    <s v="U32167750"/>
    <s v="Standard"/>
    <s v="Delivered"/>
    <n v="150"/>
  </r>
  <r>
    <x v="3"/>
    <s v="October-2024"/>
    <s v="U32167751"/>
    <s v="Standard"/>
    <s v="Delivered"/>
    <n v="210"/>
  </r>
  <r>
    <x v="3"/>
    <s v="October-2024"/>
    <s v="U32167752"/>
    <s v="Standard"/>
    <s v="Delivered"/>
    <n v="170"/>
  </r>
  <r>
    <x v="3"/>
    <s v="October-2024"/>
    <s v="U32167753"/>
    <s v="Standard"/>
    <s v="Delivered"/>
    <n v="170"/>
  </r>
  <r>
    <x v="3"/>
    <s v="October-2024"/>
    <s v="U32167754"/>
    <s v="Standard"/>
    <s v="Delivered"/>
    <n v="170"/>
  </r>
  <r>
    <x v="3"/>
    <s v="October-2024"/>
    <s v="U32167755"/>
    <s v="Standard"/>
    <s v="Delivered"/>
    <n v="140"/>
  </r>
  <r>
    <x v="3"/>
    <s v="October-2024"/>
    <s v="U32167756"/>
    <s v="Standard"/>
    <s v="Delivered"/>
    <n v="140"/>
  </r>
  <r>
    <x v="3"/>
    <s v="October-2024"/>
    <s v="U32167757"/>
    <s v="Standard"/>
    <s v="Delivered"/>
    <n v="140"/>
  </r>
  <r>
    <x v="3"/>
    <s v="October-2024"/>
    <s v="U32167758"/>
    <s v="Standard"/>
    <s v="Delivered"/>
    <n v="140"/>
  </r>
  <r>
    <x v="3"/>
    <s v="October-2024"/>
    <s v="U32167759"/>
    <s v="Standard"/>
    <s v="Delivered"/>
    <n v="120"/>
  </r>
  <r>
    <x v="3"/>
    <s v="October-2024"/>
    <s v="U32167760"/>
    <s v="Standard"/>
    <s v="Delivered"/>
    <n v="120"/>
  </r>
  <r>
    <x v="3"/>
    <s v="October-2024"/>
    <s v="U32167761"/>
    <s v="Standard"/>
    <s v="Delivered"/>
    <n v="140"/>
  </r>
  <r>
    <x v="3"/>
    <s v="October-2024"/>
    <s v="U32167762"/>
    <s v="Standard"/>
    <s v="Delivered"/>
    <n v="70"/>
  </r>
  <r>
    <x v="3"/>
    <s v="October-2024"/>
    <s v="U32167763"/>
    <s v="Standard"/>
    <s v="Delivered"/>
    <n v="70"/>
  </r>
  <r>
    <x v="3"/>
    <s v="October-2024"/>
    <s v="U32167764"/>
    <s v="Standard"/>
    <s v="Delivered"/>
    <n v="70"/>
  </r>
  <r>
    <x v="3"/>
    <s v="October-2024"/>
    <s v="U32167765"/>
    <s v="Standard"/>
    <s v="Delivered"/>
    <n v="70"/>
  </r>
  <r>
    <x v="3"/>
    <s v="October-2024"/>
    <s v="U32167766"/>
    <s v="Standard"/>
    <s v="Delivered"/>
    <n v="90"/>
  </r>
  <r>
    <x v="3"/>
    <s v="October-2024"/>
    <s v="U32167767"/>
    <s v="Standard"/>
    <s v="Delivered"/>
    <n v="90"/>
  </r>
  <r>
    <x v="3"/>
    <s v="October-2024"/>
    <s v="U32167768"/>
    <s v="Standard"/>
    <s v="Delivered"/>
    <n v="90"/>
  </r>
  <r>
    <x v="3"/>
    <s v="October-2024"/>
    <s v="U32167769"/>
    <s v="Standard"/>
    <s v="Delivered"/>
    <n v="140"/>
  </r>
  <r>
    <x v="3"/>
    <s v="October-2024"/>
    <s v="U32167770"/>
    <s v="Standard"/>
    <s v="Delivered"/>
    <n v="70"/>
  </r>
  <r>
    <x v="3"/>
    <s v="October-2024"/>
    <s v="U32167771"/>
    <s v="Standard"/>
    <s v="Delivered"/>
    <n v="70"/>
  </r>
  <r>
    <x v="3"/>
    <s v="October-2024"/>
    <s v="U32167772"/>
    <s v="Standard"/>
    <s v="Delivered"/>
    <n v="90"/>
  </r>
  <r>
    <x v="3"/>
    <s v="October-2024"/>
    <s v="U32167773"/>
    <s v="Standard"/>
    <s v="Delivered"/>
    <n v="120"/>
  </r>
  <r>
    <x v="3"/>
    <s v="October-2024"/>
    <s v="V85748816"/>
    <s v="Express"/>
    <s v="Delivered"/>
    <n v="970"/>
  </r>
  <r>
    <x v="4"/>
    <s v="October-2024"/>
    <s v="U32167774"/>
    <s v="Standard"/>
    <s v="Delivered"/>
    <n v="170"/>
  </r>
  <r>
    <x v="4"/>
    <s v="October-2024"/>
    <s v="U32167775"/>
    <s v="Standard"/>
    <s v="Delivered"/>
    <n v="90"/>
  </r>
  <r>
    <x v="5"/>
    <s v="October-2024"/>
    <s v="D93994455"/>
    <s v="Standard"/>
    <s v="Delivered"/>
    <n v="840"/>
  </r>
  <r>
    <x v="5"/>
    <s v="October-2024"/>
    <s v="U32167776"/>
    <s v="Standard"/>
    <s v="Delivered"/>
    <n v="90"/>
  </r>
  <r>
    <x v="5"/>
    <s v="October-2024"/>
    <s v="U32167777"/>
    <s v="Standard"/>
    <s v="Delivered"/>
    <n v="350"/>
  </r>
  <r>
    <x v="5"/>
    <s v="October-2024"/>
    <s v="U32167778"/>
    <s v="Standard"/>
    <s v="Delivered"/>
    <n v="90"/>
  </r>
  <r>
    <x v="5"/>
    <s v="October-2024"/>
    <s v="U32167779"/>
    <s v="Standard"/>
    <s v="Delivered"/>
    <n v="320"/>
  </r>
  <r>
    <x v="5"/>
    <s v="October-2024"/>
    <s v="U32167780"/>
    <s v="Standard"/>
    <s v="Delivered"/>
    <n v="150"/>
  </r>
  <r>
    <x v="5"/>
    <s v="October-2024"/>
    <s v="U32167781"/>
    <s v="Standard"/>
    <s v="Delivered"/>
    <n v="90"/>
  </r>
  <r>
    <x v="5"/>
    <s v="October-2024"/>
    <s v="U32167782"/>
    <s v="Standard"/>
    <s v="Delivered"/>
    <n v="140"/>
  </r>
  <r>
    <x v="5"/>
    <s v="October-2024"/>
    <s v="U32167783"/>
    <s v="Standard"/>
    <s v="Delivered"/>
    <n v="90"/>
  </r>
  <r>
    <x v="5"/>
    <s v="October-2024"/>
    <s v="U32167784"/>
    <s v="Standard"/>
    <s v="Delivered"/>
    <n v="90"/>
  </r>
  <r>
    <x v="5"/>
    <s v="October-2024"/>
    <s v="U32167785"/>
    <s v="Standard"/>
    <s v="Delivered"/>
    <n v="90"/>
  </r>
  <r>
    <x v="5"/>
    <s v="October-2024"/>
    <s v="U32167786"/>
    <s v="Standard"/>
    <s v="Delivered"/>
    <n v="140"/>
  </r>
  <r>
    <x v="5"/>
    <s v="October-2024"/>
    <s v="U32167787"/>
    <s v="Standard"/>
    <s v="Delivered"/>
    <n v="90"/>
  </r>
  <r>
    <x v="5"/>
    <s v="October-2024"/>
    <s v="U32167788"/>
    <s v="Standard"/>
    <s v="Delivered"/>
    <n v="100"/>
  </r>
  <r>
    <x v="5"/>
    <s v="October-2024"/>
    <s v="U32167789"/>
    <s v="Standard"/>
    <s v="Delivered"/>
    <n v="120"/>
  </r>
  <r>
    <x v="5"/>
    <s v="October-2024"/>
    <s v="U32167790"/>
    <s v="Standard"/>
    <s v="Delivered"/>
    <n v="90"/>
  </r>
  <r>
    <x v="5"/>
    <s v="October-2024"/>
    <s v="U32167791"/>
    <s v="Standard"/>
    <s v="Delivered"/>
    <n v="140"/>
  </r>
  <r>
    <x v="5"/>
    <s v="October-2024"/>
    <s v="U32167792"/>
    <s v="Standard"/>
    <s v="Delivered"/>
    <n v="90"/>
  </r>
  <r>
    <x v="5"/>
    <s v="October-2024"/>
    <s v="U32167793"/>
    <s v="Standard"/>
    <s v="Delivered"/>
    <n v="90"/>
  </r>
  <r>
    <x v="5"/>
    <s v="October-2024"/>
    <s v="V85748817"/>
    <s v="Express"/>
    <s v="Delivered"/>
    <n v="390"/>
  </r>
  <r>
    <x v="5"/>
    <s v="October-2024"/>
    <s v="V85748818"/>
    <s v="Express"/>
    <s v="Delivered"/>
    <n v="855"/>
  </r>
  <r>
    <x v="5"/>
    <s v="October-2024"/>
    <s v="V85748819"/>
    <s v="Express"/>
    <s v="Delivered"/>
    <n v="1250"/>
  </r>
  <r>
    <x v="5"/>
    <s v="October-2024"/>
    <s v="V85940501"/>
    <s v="Express"/>
    <s v="Delivered"/>
    <n v="310"/>
  </r>
  <r>
    <x v="5"/>
    <s v="October-2024"/>
    <s v="V85940502"/>
    <s v="Express"/>
    <s v="Delivered"/>
    <n v="350"/>
  </r>
  <r>
    <x v="6"/>
    <s v="October-2024"/>
    <s v="U32167794"/>
    <s v="Standard"/>
    <s v="Delivered"/>
    <n v="110"/>
  </r>
  <r>
    <x v="6"/>
    <s v="October-2024"/>
    <s v="U32167795"/>
    <s v="Standard"/>
    <s v="Delivered"/>
    <n v="90"/>
  </r>
  <r>
    <x v="6"/>
    <s v="October-2024"/>
    <s v="U32167796"/>
    <s v="Standard"/>
    <s v="Delivered"/>
    <n v="150"/>
  </r>
  <r>
    <x v="6"/>
    <s v="October-2024"/>
    <s v="U32167797"/>
    <s v="Standard"/>
    <s v="Delivered"/>
    <n v="210"/>
  </r>
  <r>
    <x v="6"/>
    <s v="October-2024"/>
    <s v="U32167798"/>
    <s v="Standard"/>
    <s v="Delivered"/>
    <n v="150"/>
  </r>
  <r>
    <x v="6"/>
    <s v="October-2024"/>
    <s v="U32167799"/>
    <s v="Standard"/>
    <s v="Delivered"/>
    <n v="120"/>
  </r>
  <r>
    <x v="6"/>
    <s v="October-2024"/>
    <s v="U32593900"/>
    <s v="Standard"/>
    <s v="Delivered"/>
    <n v="480"/>
  </r>
  <r>
    <x v="6"/>
    <s v="October-2024"/>
    <s v="U32593901"/>
    <s v="Standard"/>
    <s v="Delivered"/>
    <n v="90"/>
  </r>
  <r>
    <x v="7"/>
    <s v="October-2024"/>
    <s v="U32593902"/>
    <s v="Standard"/>
    <s v="Delivered"/>
    <n v="140"/>
  </r>
  <r>
    <x v="7"/>
    <s v="October-2024"/>
    <s v="U32593903"/>
    <s v="Standard"/>
    <s v="Delivered"/>
    <n v="150"/>
  </r>
  <r>
    <x v="7"/>
    <s v="October-2024"/>
    <s v="U32593904"/>
    <s v="Standard"/>
    <s v="Delivered"/>
    <n v="140"/>
  </r>
  <r>
    <x v="7"/>
    <s v="October-2024"/>
    <s v="U32593905"/>
    <s v="Standard"/>
    <s v="Delivered"/>
    <n v="140"/>
  </r>
  <r>
    <x v="7"/>
    <s v="October-2024"/>
    <s v="U32593906"/>
    <s v="Standard"/>
    <s v="Delivered"/>
    <n v="170"/>
  </r>
  <r>
    <x v="7"/>
    <s v="October-2024"/>
    <s v="U32593907"/>
    <s v="Standard"/>
    <s v="Delivered"/>
    <n v="300"/>
  </r>
  <r>
    <x v="7"/>
    <s v="October-2024"/>
    <s v="U32593908"/>
    <s v="Standard"/>
    <s v="Delivered"/>
    <n v="210"/>
  </r>
  <r>
    <x v="7"/>
    <s v="October-2024"/>
    <s v="U32593909"/>
    <s v="Standard"/>
    <s v="Delivered"/>
    <n v="110"/>
  </r>
  <r>
    <x v="7"/>
    <s v="October-2024"/>
    <s v="U32593910"/>
    <s v="Standard"/>
    <s v="Delivered"/>
    <n v="110"/>
  </r>
  <r>
    <x v="7"/>
    <s v="October-2024"/>
    <s v="U32593911"/>
    <s v="Standard"/>
    <s v="Delivered"/>
    <n v="140"/>
  </r>
  <r>
    <x v="7"/>
    <s v="October-2024"/>
    <s v="U32593912"/>
    <s v="Standard"/>
    <s v="Delivered"/>
    <n v="150"/>
  </r>
  <r>
    <x v="7"/>
    <s v="October-2024"/>
    <s v="U32593913"/>
    <s v="Standard"/>
    <s v="Delivered"/>
    <n v="110"/>
  </r>
  <r>
    <x v="7"/>
    <s v="October-2024"/>
    <s v="U32593914"/>
    <s v="Standard"/>
    <s v="Delivered"/>
    <n v="150"/>
  </r>
  <r>
    <x v="7"/>
    <s v="October-2024"/>
    <s v="V85940503"/>
    <s v="Express"/>
    <s v="Delivered"/>
    <n v="390"/>
  </r>
  <r>
    <x v="8"/>
    <s v="October-2024"/>
    <s v="U32593915"/>
    <s v="Standard"/>
    <s v="Delivered"/>
    <n v="370"/>
  </r>
  <r>
    <x v="8"/>
    <s v="October-2024"/>
    <s v="U32593916"/>
    <s v="Standard"/>
    <s v="Delivered"/>
    <n v="480"/>
  </r>
  <r>
    <x v="8"/>
    <s v="October-2024"/>
    <s v="U32593917"/>
    <s v="Standard"/>
    <s v="Delivered"/>
    <n v="90"/>
  </r>
  <r>
    <x v="8"/>
    <s v="October-2024"/>
    <s v="U32593918"/>
    <s v="Standard"/>
    <s v="Delivered"/>
    <n v="540"/>
  </r>
  <r>
    <x v="8"/>
    <s v="October-2024"/>
    <s v="U32593919"/>
    <s v="Standard"/>
    <s v="Delivered"/>
    <n v="240"/>
  </r>
  <r>
    <x v="9"/>
    <s v="October-2024"/>
    <s v="D93994456"/>
    <s v="Standard"/>
    <s v="Delivered"/>
    <n v="670"/>
  </r>
  <r>
    <x v="9"/>
    <s v="October-2024"/>
    <s v="V85940504"/>
    <s v="Express"/>
    <s v="Delivered"/>
    <n v="250"/>
  </r>
  <r>
    <x v="10"/>
    <s v="October-2024"/>
    <s v="D93994457"/>
    <s v="Standard"/>
    <s v="Delivered"/>
    <n v="610"/>
  </r>
  <r>
    <x v="10"/>
    <s v="October-2024"/>
    <s v="D93994458"/>
    <s v="Standard"/>
    <s v="Delivered"/>
    <n v="710"/>
  </r>
  <r>
    <x v="10"/>
    <s v="October-2024"/>
    <s v="U32593938"/>
    <s v="Standard"/>
    <s v="Delivered"/>
    <n v="140"/>
  </r>
  <r>
    <x v="10"/>
    <s v="October-2024"/>
    <s v="U32593939"/>
    <s v="Standard"/>
    <s v="Delivered"/>
    <n v="130"/>
  </r>
  <r>
    <x v="10"/>
    <s v="October-2024"/>
    <s v="V85940505"/>
    <s v="Express"/>
    <s v="Delivered"/>
    <n v="370"/>
  </r>
  <r>
    <x v="11"/>
    <s v="October-2024"/>
    <s v="U32593948"/>
    <s v="Standard"/>
    <s v="Delivered"/>
    <n v="170"/>
  </r>
  <r>
    <x v="12"/>
    <s v="October-2024"/>
    <s v="U32593949"/>
    <s v="Standard"/>
    <s v="Delivered"/>
    <n v="140"/>
  </r>
  <r>
    <x v="12"/>
    <s v="October-2024"/>
    <s v="U32593950"/>
    <s v="Standard"/>
    <s v="Delivered"/>
    <n v="140"/>
  </r>
  <r>
    <x v="12"/>
    <s v="October-2024"/>
    <s v="U32593951"/>
    <s v="Standard"/>
    <s v="Delivered"/>
    <n v="170"/>
  </r>
  <r>
    <x v="12"/>
    <s v="October-2024"/>
    <s v="U32593952"/>
    <s v="Standard"/>
    <s v="Delivered"/>
    <n v="70"/>
  </r>
  <r>
    <x v="12"/>
    <s v="October-2024"/>
    <s v="U32593953"/>
    <s v="Standard"/>
    <s v="Delivered"/>
    <n v="70"/>
  </r>
  <r>
    <x v="12"/>
    <s v="October-2024"/>
    <s v="U32593954"/>
    <s v="Standard"/>
    <s v="Delivered"/>
    <n v="70"/>
  </r>
  <r>
    <x v="12"/>
    <s v="October-2024"/>
    <s v="U32593955"/>
    <s v="Standard"/>
    <s v="Delivered"/>
    <n v="90"/>
  </r>
  <r>
    <x v="12"/>
    <s v="October-2024"/>
    <s v="U32593956"/>
    <s v="Standard"/>
    <s v="Delivered"/>
    <n v="70"/>
  </r>
  <r>
    <x v="12"/>
    <s v="October-2024"/>
    <s v="U32593957"/>
    <s v="Standard"/>
    <s v="Delivered"/>
    <n v="90"/>
  </r>
  <r>
    <x v="12"/>
    <s v="October-2024"/>
    <s v="U32593958"/>
    <s v="Standard"/>
    <s v="Delivered"/>
    <n v="90"/>
  </r>
  <r>
    <x v="12"/>
    <s v="October-2024"/>
    <s v="U32593959"/>
    <s v="Standard"/>
    <s v="Delivered"/>
    <n v="90"/>
  </r>
  <r>
    <x v="12"/>
    <s v="October-2024"/>
    <s v="U32593960"/>
    <s v="Standard"/>
    <s v="Delivered"/>
    <n v="90"/>
  </r>
  <r>
    <x v="12"/>
    <s v="October-2024"/>
    <s v="U32593961"/>
    <s v="Standard"/>
    <s v="Delivered"/>
    <n v="90"/>
  </r>
  <r>
    <x v="12"/>
    <s v="October-2024"/>
    <s v="U32593962"/>
    <s v="Standard"/>
    <s v="Delivered"/>
    <n v="110"/>
  </r>
  <r>
    <x v="12"/>
    <s v="October-2024"/>
    <s v="U32593963"/>
    <s v="Standard"/>
    <s v="Delivered"/>
    <n v="90"/>
  </r>
  <r>
    <x v="12"/>
    <s v="October-2024"/>
    <s v="U32593964"/>
    <s v="Standard"/>
    <s v="Delivered"/>
    <n v="70"/>
  </r>
  <r>
    <x v="12"/>
    <s v="October-2024"/>
    <s v="U32593965"/>
    <s v="Standard"/>
    <s v="Delivered"/>
    <n v="90"/>
  </r>
  <r>
    <x v="12"/>
    <s v="October-2024"/>
    <s v="U32593966"/>
    <s v="Standard"/>
    <s v="Delivered"/>
    <n v="90"/>
  </r>
  <r>
    <x v="12"/>
    <s v="October-2024"/>
    <s v="U32593967"/>
    <s v="Standard"/>
    <s v="Delivered"/>
    <n v="90"/>
  </r>
  <r>
    <x v="12"/>
    <s v="October-2024"/>
    <s v="U32593968"/>
    <s v="Standard"/>
    <s v="Delivered"/>
    <n v="90"/>
  </r>
  <r>
    <x v="12"/>
    <s v="October-2024"/>
    <s v="U32593969"/>
    <s v="Standard"/>
    <s v="Delivered"/>
    <n v="70"/>
  </r>
  <r>
    <x v="12"/>
    <s v="October-2024"/>
    <s v="U32593970"/>
    <s v="Standard"/>
    <s v="Delivered"/>
    <n v="90"/>
  </r>
  <r>
    <x v="12"/>
    <s v="October-2024"/>
    <s v="U32593971"/>
    <s v="Standard"/>
    <s v="Delivered"/>
    <n v="70"/>
  </r>
  <r>
    <x v="12"/>
    <s v="October-2024"/>
    <s v="U32593972"/>
    <s v="Standard"/>
    <s v="Delivered"/>
    <n v="70"/>
  </r>
  <r>
    <x v="12"/>
    <s v="October-2024"/>
    <s v="U32593973"/>
    <s v="Standard"/>
    <s v="Delivered"/>
    <n v="90"/>
  </r>
  <r>
    <x v="12"/>
    <s v="October-2024"/>
    <s v="U32593974"/>
    <s v="Standard"/>
    <s v="Delivered"/>
    <n v="120"/>
  </r>
  <r>
    <x v="12"/>
    <s v="October-2024"/>
    <s v="U32593975"/>
    <s v="Standard"/>
    <s v="Delivered"/>
    <n v="90"/>
  </r>
  <r>
    <x v="12"/>
    <s v="October-2024"/>
    <s v="U32593976"/>
    <s v="Standard"/>
    <s v="Delivered"/>
    <n v="140"/>
  </r>
  <r>
    <x v="12"/>
    <s v="October-2024"/>
    <s v="U32593977"/>
    <s v="Standard"/>
    <s v="Delivered"/>
    <n v="90"/>
  </r>
  <r>
    <x v="12"/>
    <s v="October-2024"/>
    <s v="U32593978"/>
    <s v="Standard"/>
    <s v="Delivered"/>
    <n v="120"/>
  </r>
  <r>
    <x v="12"/>
    <s v="October-2024"/>
    <s v="U32593979"/>
    <s v="Standard"/>
    <s v="Delivered"/>
    <n v="480"/>
  </r>
  <r>
    <x v="12"/>
    <s v="October-2024"/>
    <s v="U32593980"/>
    <s v="Standard"/>
    <s v="Delivered"/>
    <n v="230"/>
  </r>
  <r>
    <x v="13"/>
    <s v="October-2024"/>
    <s v="D93994459"/>
    <s v="Standard"/>
    <s v="Delivered"/>
    <n v="650"/>
  </r>
  <r>
    <x v="13"/>
    <s v="October-2024"/>
    <s v="D93994460"/>
    <s v="Standard"/>
    <s v="Delivered"/>
    <n v="670"/>
  </r>
  <r>
    <x v="13"/>
    <s v="October-2024"/>
    <s v="V85940506"/>
    <s v="Express"/>
    <s v="Delivered"/>
    <n v="1150"/>
  </r>
  <r>
    <x v="13"/>
    <s v="October-2024"/>
    <s v="V85940507"/>
    <s v="Express"/>
    <s v="Delivered"/>
    <n v="650"/>
  </r>
  <r>
    <x v="14"/>
    <s v="October-2024"/>
    <s v="D93994461"/>
    <s v="Standard"/>
    <s v="Delivered"/>
    <n v="450"/>
  </r>
  <r>
    <x v="14"/>
    <s v="October-2024"/>
    <s v="D93994462"/>
    <s v="Standard"/>
    <s v="Delivered"/>
    <n v="760"/>
  </r>
  <r>
    <x v="15"/>
    <s v="October-2024"/>
    <s v="D93994463"/>
    <s v="Standard"/>
    <s v="Delivered"/>
    <n v="1000"/>
  </r>
  <r>
    <x v="16"/>
    <s v="October-2024"/>
    <s v="V85940508"/>
    <s v="Express"/>
    <s v="Delivered"/>
    <n v="490"/>
  </r>
  <r>
    <x v="17"/>
    <s v="October-2024"/>
    <s v="D93994464"/>
    <s v="Standard"/>
    <s v="Delivered"/>
    <n v="1050"/>
  </r>
  <r>
    <x v="17"/>
    <s v="October-2024"/>
    <s v="U32594040"/>
    <s v="Standard"/>
    <s v="Delivered"/>
    <n v="110"/>
  </r>
  <r>
    <x v="17"/>
    <s v="October-2024"/>
    <s v="U32594041"/>
    <s v="Standard"/>
    <s v="Delivered"/>
    <n v="110"/>
  </r>
  <r>
    <x v="17"/>
    <s v="October-2024"/>
    <s v="U32594042"/>
    <s v="Standard"/>
    <s v="Delivered"/>
    <n v="540"/>
  </r>
  <r>
    <x v="17"/>
    <s v="October-2024"/>
    <s v="U32594043"/>
    <s v="Standard"/>
    <s v="Delivered"/>
    <n v="150"/>
  </r>
  <r>
    <x v="17"/>
    <s v="October-2024"/>
    <s v="U32594044"/>
    <s v="Standard"/>
    <s v="Delivered"/>
    <n v="90"/>
  </r>
  <r>
    <x v="18"/>
    <s v="October-2024"/>
    <s v="D93994465"/>
    <s v="Standard"/>
    <s v="Delivered"/>
    <n v="340"/>
  </r>
  <r>
    <x v="18"/>
    <s v="October-2024"/>
    <s v="D93994466"/>
    <s v="Standard"/>
    <s v="Delivered"/>
    <n v="480"/>
  </r>
  <r>
    <x v="18"/>
    <s v="October-2024"/>
    <s v="D93994467"/>
    <s v="Standard"/>
    <s v="Delivered"/>
    <n v="520"/>
  </r>
  <r>
    <x v="18"/>
    <s v="October-2024"/>
    <s v="D93994468"/>
    <s v="Standard"/>
    <s v="Delivered"/>
    <n v="1350"/>
  </r>
  <r>
    <x v="18"/>
    <s v="October-2024"/>
    <s v="V85940509"/>
    <s v="Express"/>
    <s v="Delivered"/>
    <n v="320"/>
  </r>
  <r>
    <x v="19"/>
    <s v="October-2024"/>
    <s v="U32594073"/>
    <s v="Standard"/>
    <s v="Delivered"/>
    <n v="70"/>
  </r>
  <r>
    <x v="19"/>
    <s v="October-2024"/>
    <s v="U32594074"/>
    <s v="Standard"/>
    <s v="Delivered"/>
    <n v="70"/>
  </r>
  <r>
    <x v="19"/>
    <s v="October-2024"/>
    <s v="U32594075"/>
    <s v="Standard"/>
    <s v="Delivered"/>
    <n v="90"/>
  </r>
  <r>
    <x v="19"/>
    <s v="October-2024"/>
    <s v="U32594076"/>
    <s v="Standard"/>
    <s v="Delivered"/>
    <n v="90"/>
  </r>
  <r>
    <x v="19"/>
    <s v="October-2024"/>
    <s v="U32594077"/>
    <s v="Standard"/>
    <s v="Delivered"/>
    <n v="140"/>
  </r>
  <r>
    <x v="19"/>
    <s v="October-2024"/>
    <s v="U32594078"/>
    <s v="Standard"/>
    <s v="Delivered"/>
    <n v="140"/>
  </r>
  <r>
    <x v="19"/>
    <s v="October-2024"/>
    <s v="U32594079"/>
    <s v="Standard"/>
    <s v="Delivered"/>
    <n v="90"/>
  </r>
  <r>
    <x v="19"/>
    <s v="October-2024"/>
    <s v="U32594080"/>
    <s v="Standard"/>
    <s v="Delivered"/>
    <n v="170"/>
  </r>
  <r>
    <x v="19"/>
    <s v="October-2024"/>
    <s v="U32594081"/>
    <s v="Standard"/>
    <s v="Delivered"/>
    <n v="90"/>
  </r>
  <r>
    <x v="19"/>
    <s v="October-2024"/>
    <s v="V85940510"/>
    <s v="Express"/>
    <s v="Delivered"/>
    <n v="540"/>
  </r>
  <r>
    <x v="19"/>
    <s v="October-2024"/>
    <s v="V85940511"/>
    <s v="Express"/>
    <s v="Delivered"/>
    <n v="310"/>
  </r>
  <r>
    <x v="20"/>
    <s v="October-2024"/>
    <s v="U32594082"/>
    <s v="Standard"/>
    <s v="Delivered"/>
    <n v="90"/>
  </r>
  <r>
    <x v="20"/>
    <s v="October-2024"/>
    <s v="U32594083"/>
    <s v="Standard"/>
    <s v="Delivered"/>
    <n v="1070"/>
  </r>
  <r>
    <x v="20"/>
    <s v="October-2024"/>
    <s v="U32594084"/>
    <s v="Standard"/>
    <s v="Delivered"/>
    <n v="90"/>
  </r>
  <r>
    <x v="20"/>
    <s v="October-2024"/>
    <s v="U32594085"/>
    <s v="Standard"/>
    <s v="Delivered"/>
    <n v="150"/>
  </r>
  <r>
    <x v="20"/>
    <s v="October-2024"/>
    <s v="U32594086"/>
    <s v="Standard"/>
    <s v="Delivered"/>
    <n v="540"/>
  </r>
  <r>
    <x v="20"/>
    <s v="October-2024"/>
    <s v="U32594087"/>
    <s v="Standard"/>
    <s v="Delivered"/>
    <n v="750"/>
  </r>
  <r>
    <x v="20"/>
    <s v="October-2024"/>
    <s v="V85940512"/>
    <s v="Express"/>
    <s v="Delivered"/>
    <n v="390"/>
  </r>
  <r>
    <x v="20"/>
    <s v="October-2024"/>
    <s v="V85940513"/>
    <s v="Express"/>
    <s v="Delivered"/>
    <n v="310"/>
  </r>
  <r>
    <x v="21"/>
    <s v="October-2024"/>
    <s v="U32594088"/>
    <s v="Standard"/>
    <s v="Delivered"/>
    <n v="150"/>
  </r>
  <r>
    <x v="21"/>
    <s v="October-2024"/>
    <s v="U32594089"/>
    <s v="Standard"/>
    <s v="Delivered"/>
    <n v="150"/>
  </r>
  <r>
    <x v="21"/>
    <s v="October-2024"/>
    <s v="U32594090"/>
    <s v="Standard"/>
    <s v="Delivered"/>
    <n v="380"/>
  </r>
  <r>
    <x v="21"/>
    <s v="October-2024"/>
    <s v="U32594091"/>
    <s v="Standard"/>
    <s v="Delivered"/>
    <n v="650"/>
  </r>
  <r>
    <x v="21"/>
    <s v="October-2024"/>
    <s v="U32594092"/>
    <s v="Standard"/>
    <s v="Delivered"/>
    <n v="90"/>
  </r>
  <r>
    <x v="21"/>
    <s v="October-2024"/>
    <s v="U32594093"/>
    <s v="Standard"/>
    <s v="Delivered"/>
    <n v="70"/>
  </r>
  <r>
    <x v="21"/>
    <s v="October-2024"/>
    <s v="U32594094"/>
    <s v="Standard"/>
    <s v="Delivered"/>
    <n v="70"/>
  </r>
  <r>
    <x v="21"/>
    <s v="October-2024"/>
    <s v="U32594095"/>
    <s v="Standard"/>
    <s v="Delivered"/>
    <n v="90"/>
  </r>
  <r>
    <x v="21"/>
    <s v="October-2024"/>
    <s v="U32594096"/>
    <s v="Standard"/>
    <s v="Delivered"/>
    <n v="70"/>
  </r>
  <r>
    <x v="21"/>
    <s v="October-2024"/>
    <s v="U32594097"/>
    <s v="Standard"/>
    <s v="Delivered"/>
    <n v="90"/>
  </r>
  <r>
    <x v="21"/>
    <s v="October-2024"/>
    <s v="U32594098"/>
    <s v="Standard"/>
    <s v="Delivered"/>
    <n v="90"/>
  </r>
  <r>
    <x v="21"/>
    <s v="October-2024"/>
    <s v="U32594099"/>
    <s v="Standard"/>
    <s v="Delivered"/>
    <n v="150"/>
  </r>
  <r>
    <x v="21"/>
    <s v="October-2024"/>
    <s v="U32594100"/>
    <s v="Standard"/>
    <s v="Delivered"/>
    <n v="210"/>
  </r>
  <r>
    <x v="22"/>
    <s v="October-2024"/>
    <s v="U32594101"/>
    <s v="Standard"/>
    <s v="Returned"/>
    <n v="360"/>
  </r>
  <r>
    <x v="22"/>
    <s v="October-2024"/>
    <s v="U32594102"/>
    <s v="Standard"/>
    <s v="Delivered"/>
    <n v="150"/>
  </r>
  <r>
    <x v="22"/>
    <s v="October-2024"/>
    <s v="U32594103"/>
    <s v="Standard"/>
    <s v="Delivered"/>
    <n v="120"/>
  </r>
  <r>
    <x v="22"/>
    <s v="October-2024"/>
    <s v="U32594104"/>
    <s v="Standard"/>
    <s v="Delivered"/>
    <n v="150"/>
  </r>
  <r>
    <x v="23"/>
    <s v="October-2024"/>
    <s v="V85940514"/>
    <s v="Express"/>
    <s v="Delivered"/>
    <n v="250"/>
  </r>
  <r>
    <x v="24"/>
    <s v="October-2024"/>
    <s v="V85940515"/>
    <s v="Express"/>
    <s v="Delivered"/>
    <n v="24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d v="2024-10-01T00:00:00"/>
    <s v="October-2024"/>
    <s v="V85748809"/>
    <s v="Express"/>
    <s v="Delivered"/>
    <n v="680"/>
    <s v="Kanpur"/>
    <x v="0"/>
    <s v="Less than 5 kgs"/>
    <s v="N.A."/>
    <d v="2024-10-03T00:00:00"/>
    <s v="N.A."/>
    <n v="2"/>
    <n v="2.2000000000000002"/>
    <s v="On Time"/>
    <s v="Tuesday"/>
  </r>
  <r>
    <d v="2024-10-01T00:00:00"/>
    <s v="October-2024"/>
    <s v="V85748810"/>
    <s v="Express"/>
    <s v="Delivered"/>
    <n v="310"/>
    <s v="Kanpur"/>
    <x v="1"/>
    <s v="Less than 5 kgs"/>
    <s v="N.A."/>
    <d v="2024-10-03T00:00:00"/>
    <s v="N.A."/>
    <n v="2"/>
    <n v="1.7"/>
    <s v="Delayed"/>
    <s v="Tuesday"/>
  </r>
  <r>
    <d v="2024-10-03T00:00:00"/>
    <s v="October-2024"/>
    <s v="U32167711"/>
    <s v="Standard"/>
    <s v="Delivered"/>
    <n v="320"/>
    <s v="Kanpur"/>
    <x v="2"/>
    <s v="Less than 5 kgs"/>
    <s v="Eatables"/>
    <d v="2024-10-07T00:00:00"/>
    <s v="N.A."/>
    <n v="4"/>
    <n v="2.1428571428571428"/>
    <s v="Delayed"/>
    <s v="Thursday"/>
  </r>
  <r>
    <d v="2024-10-03T00:00:00"/>
    <s v="October-2024"/>
    <s v="U32167712"/>
    <s v="Standard"/>
    <s v="Returned"/>
    <n v="140"/>
    <s v="Kanpur"/>
    <x v="3"/>
    <s v="Less than 5 kgs"/>
    <s v="N.A."/>
    <d v="2024-10-15T00:00:00"/>
    <d v="2024-11-08T00:00:00"/>
    <s v=""/>
    <n v="2.0555555555555554"/>
    <m/>
    <s v="Thursday"/>
  </r>
  <r>
    <d v="2024-10-03T00:00:00"/>
    <s v="October-2024"/>
    <s v="U32167713"/>
    <s v="Standard"/>
    <s v="Delivered"/>
    <n v="150"/>
    <s v="Kanpur"/>
    <x v="3"/>
    <s v="Less than 5 kgs"/>
    <s v="N.A."/>
    <d v="2024-10-05T00:00:00"/>
    <s v="N.A."/>
    <n v="2"/>
    <n v="2.0555555555555554"/>
    <s v="On Time"/>
    <s v="Thursday"/>
  </r>
  <r>
    <d v="2024-10-03T00:00:00"/>
    <s v="October-2024"/>
    <s v="U32167714"/>
    <s v="Standard"/>
    <s v="Delivered"/>
    <n v="100"/>
    <s v="Kanpur"/>
    <x v="4"/>
    <s v="Less than 5 kgs"/>
    <s v="N.A."/>
    <d v="2024-10-05T00:00:00"/>
    <s v="N.A."/>
    <n v="2"/>
    <n v="2.406779661016949"/>
    <s v="On Time"/>
    <s v="Thursday"/>
  </r>
  <r>
    <d v="2024-10-03T00:00:00"/>
    <s v="October-2024"/>
    <s v="U32167715"/>
    <s v="Standard"/>
    <s v="Delivered"/>
    <n v="350"/>
    <s v="Kanpur"/>
    <x v="5"/>
    <s v="Less than 5 kgs"/>
    <s v="Clothes"/>
    <d v="2024-10-05T00:00:00"/>
    <s v="N.A."/>
    <n v="2"/>
    <n v="2"/>
    <s v="On Time"/>
    <s v="Thursday"/>
  </r>
  <r>
    <d v="2024-10-03T00:00:00"/>
    <s v="October-2024"/>
    <s v="U32167717"/>
    <s v="Standard"/>
    <s v="Delivered"/>
    <n v="230"/>
    <s v="Kanpur"/>
    <x v="6"/>
    <s v="Less than 5 kgs"/>
    <s v="N.A."/>
    <d v="2024-10-05T00:00:00"/>
    <s v="N.A."/>
    <n v="2"/>
    <n v="2"/>
    <s v="On Time"/>
    <s v="Thursday"/>
  </r>
  <r>
    <d v="2024-10-03T00:00:00"/>
    <s v="October-2024"/>
    <s v="U32167718"/>
    <s v="Standard"/>
    <s v="Delivered"/>
    <n v="720"/>
    <s v="Kanpur"/>
    <x v="7"/>
    <s v="Less than 5 kgs"/>
    <s v="N.A."/>
    <d v="2024-10-07T00:00:00"/>
    <s v="N.A."/>
    <n v="4"/>
    <n v="3.4"/>
    <s v="Delayed"/>
    <s v="Thursday"/>
  </r>
  <r>
    <d v="2024-10-03T00:00:00"/>
    <s v="October-2024"/>
    <s v="U32167719"/>
    <s v="Standard"/>
    <s v="Delivered"/>
    <n v="90"/>
    <s v="Kanpur"/>
    <x v="6"/>
    <s v="Less than 5 kgs"/>
    <s v="N.A."/>
    <d v="2024-10-05T00:00:00"/>
    <s v="N.A."/>
    <n v="2"/>
    <n v="2"/>
    <s v="On Time"/>
    <s v="Thursday"/>
  </r>
  <r>
    <d v="2024-10-03T00:00:00"/>
    <s v="October-2024"/>
    <s v="V85748812"/>
    <s v="Express"/>
    <s v="Delivered"/>
    <n v="270"/>
    <s v="Kanpur"/>
    <x v="8"/>
    <s v="Less than 5 kgs"/>
    <s v="N.A."/>
    <d v="2024-10-07T00:00:00"/>
    <s v="N.A."/>
    <n v="4"/>
    <n v="4"/>
    <s v="On Time"/>
    <s v="Thursday"/>
  </r>
  <r>
    <d v="2024-10-03T00:00:00"/>
    <s v="October-2024"/>
    <s v="V85748813"/>
    <s v="Express"/>
    <s v="Delivered"/>
    <n v="500"/>
    <s v="Kanpur"/>
    <x v="1"/>
    <s v="Less than 5 kgs"/>
    <s v="Passport"/>
    <d v="2024-10-04T00:00:00"/>
    <s v="N.A."/>
    <n v="1"/>
    <n v="1.7"/>
    <s v="On Time"/>
    <s v="Thursday"/>
  </r>
  <r>
    <d v="2024-10-04T00:00:00"/>
    <s v="October-2024"/>
    <s v="D93994451"/>
    <s v="Standard"/>
    <s v="Delivered"/>
    <n v="480"/>
    <s v="Kanpur"/>
    <x v="4"/>
    <s v="More than 5 kgs"/>
    <s v="Clothes"/>
    <d v="2024-10-07T00:00:00"/>
    <s v="N.A."/>
    <n v="3"/>
    <n v="2.406779661016949"/>
    <s v="Delayed"/>
    <s v="Friday"/>
  </r>
  <r>
    <d v="2024-10-04T00:00:00"/>
    <s v="October-2024"/>
    <s v="U32167716"/>
    <s v="Standard"/>
    <s v="Delivered"/>
    <n v="90"/>
    <s v="Kanpur"/>
    <x v="4"/>
    <s v="Less than 5 kgs"/>
    <s v="N.A."/>
    <d v="2024-10-07T00:00:00"/>
    <s v="N.A."/>
    <n v="3"/>
    <n v="2.406779661016949"/>
    <s v="Delayed"/>
    <s v="Friday"/>
  </r>
  <r>
    <d v="2024-10-04T00:00:00"/>
    <s v="October-2024"/>
    <s v="U32167720"/>
    <s v="Standard"/>
    <s v="Delivered"/>
    <n v="140"/>
    <s v="Kanpur"/>
    <x v="9"/>
    <s v="Less than 5 kgs"/>
    <s v="N.A."/>
    <d v="2024-10-06T00:00:00"/>
    <s v="N.A."/>
    <n v="2"/>
    <n v="3.5185185185185186"/>
    <s v="On Time"/>
    <s v="Friday"/>
  </r>
  <r>
    <d v="2024-10-04T00:00:00"/>
    <s v="October-2024"/>
    <s v="U32167721"/>
    <s v="Standard"/>
    <s v="Delivered"/>
    <n v="140"/>
    <s v="Kanpur"/>
    <x v="9"/>
    <s v="Less than 5 kgs"/>
    <s v="N.A."/>
    <d v="2024-10-06T00:00:00"/>
    <s v="N.A."/>
    <n v="2"/>
    <n v="3.5185185185185186"/>
    <s v="On Time"/>
    <s v="Friday"/>
  </r>
  <r>
    <d v="2024-10-04T00:00:00"/>
    <s v="October-2024"/>
    <s v="U32167722"/>
    <s v="Standard"/>
    <s v="Delivered"/>
    <n v="140"/>
    <s v="Kanpur"/>
    <x v="9"/>
    <s v="Less than 5 kgs"/>
    <s v="N.A."/>
    <d v="2024-10-06T00:00:00"/>
    <s v="N.A."/>
    <n v="2"/>
    <n v="3.5185185185185186"/>
    <s v="On Time"/>
    <s v="Friday"/>
  </r>
  <r>
    <d v="2024-10-04T00:00:00"/>
    <s v="October-2024"/>
    <s v="U32167723"/>
    <s v="Standard"/>
    <s v="Delivered"/>
    <n v="140"/>
    <s v="Kanpur"/>
    <x v="9"/>
    <s v="Less than 5 kgs"/>
    <s v="N.A."/>
    <d v="2024-10-06T00:00:00"/>
    <s v="N.A."/>
    <n v="2"/>
    <n v="3.5185185185185186"/>
    <s v="On Time"/>
    <s v="Friday"/>
  </r>
  <r>
    <d v="2024-10-04T00:00:00"/>
    <s v="October-2024"/>
    <s v="U32167724"/>
    <s v="Standard"/>
    <s v="Delivered"/>
    <n v="140"/>
    <s v="Kanpur"/>
    <x v="9"/>
    <s v="Less than 5 kgs"/>
    <s v="N.A."/>
    <d v="2024-10-06T00:00:00"/>
    <s v="N.A."/>
    <n v="2"/>
    <n v="3.5185185185185186"/>
    <s v="On Time"/>
    <s v="Friday"/>
  </r>
  <r>
    <d v="2024-10-04T00:00:00"/>
    <s v="October-2024"/>
    <s v="U32167725"/>
    <s v="Standard"/>
    <s v="Delivered"/>
    <n v="140"/>
    <s v="Kanpur"/>
    <x v="9"/>
    <s v="Less than 5 kgs"/>
    <s v="N.A."/>
    <d v="2024-10-06T00:00:00"/>
    <s v="N.A."/>
    <n v="2"/>
    <n v="3.5185185185185186"/>
    <s v="On Time"/>
    <s v="Friday"/>
  </r>
  <r>
    <d v="2024-10-04T00:00:00"/>
    <s v="October-2024"/>
    <s v="U32167726"/>
    <s v="Standard"/>
    <s v="Delivered"/>
    <n v="140"/>
    <s v="Kanpur"/>
    <x v="9"/>
    <s v="Less than 5 kgs"/>
    <s v="N.A."/>
    <d v="2024-10-06T00:00:00"/>
    <s v="N.A."/>
    <n v="2"/>
    <n v="3.5185185185185186"/>
    <s v="On Time"/>
    <s v="Friday"/>
  </r>
  <r>
    <d v="2024-10-04T00:00:00"/>
    <s v="October-2024"/>
    <s v="U32167727"/>
    <s v="Standard"/>
    <s v="Delivered"/>
    <n v="140"/>
    <s v="Kanpur"/>
    <x v="9"/>
    <s v="Less than 5 kgs"/>
    <s v="N.A."/>
    <d v="2024-10-06T00:00:00"/>
    <s v="N.A."/>
    <n v="2"/>
    <n v="3.5185185185185186"/>
    <s v="On Time"/>
    <s v="Friday"/>
  </r>
  <r>
    <d v="2024-10-04T00:00:00"/>
    <s v="October-2024"/>
    <s v="U32167728"/>
    <s v="Standard"/>
    <s v="Delivered"/>
    <n v="140"/>
    <s v="Kanpur"/>
    <x v="9"/>
    <s v="Less than 5 kgs"/>
    <s v="N.A."/>
    <d v="2024-10-06T00:00:00"/>
    <s v="N.A."/>
    <n v="2"/>
    <n v="3.5185185185185186"/>
    <s v="On Time"/>
    <s v="Friday"/>
  </r>
  <r>
    <d v="2024-10-04T00:00:00"/>
    <s v="October-2024"/>
    <s v="U32167729"/>
    <s v="Standard"/>
    <s v="Delivered"/>
    <n v="170"/>
    <s v="Kanpur"/>
    <x v="9"/>
    <s v="Less than 5 kgs"/>
    <s v="N.A."/>
    <d v="2024-10-06T00:00:00"/>
    <s v="N.A."/>
    <n v="2"/>
    <n v="3.5185185185185186"/>
    <s v="On Time"/>
    <s v="Friday"/>
  </r>
  <r>
    <d v="2024-10-04T00:00:00"/>
    <s v="October-2024"/>
    <s v="U32167730"/>
    <s v="Standard"/>
    <s v="Delivered"/>
    <n v="90"/>
    <s v="Kanpur"/>
    <x v="3"/>
    <s v="Less than 5 kgs"/>
    <s v="N.A."/>
    <d v="2024-10-07T00:00:00"/>
    <s v="N.A."/>
    <n v="3"/>
    <n v="2.0555555555555554"/>
    <s v="Delayed"/>
    <s v="Friday"/>
  </r>
  <r>
    <d v="2024-10-04T00:00:00"/>
    <s v="October-2024"/>
    <s v="U32167731"/>
    <s v="Standard"/>
    <s v="Delivered"/>
    <n v="140"/>
    <s v="Kanpur"/>
    <x v="0"/>
    <s v="Less than 5 kgs"/>
    <s v="N.A."/>
    <d v="2024-10-07T00:00:00"/>
    <s v="N.A."/>
    <n v="3"/>
    <n v="2.2000000000000002"/>
    <s v="Delayed"/>
    <s v="Friday"/>
  </r>
  <r>
    <d v="2024-10-04T00:00:00"/>
    <s v="October-2024"/>
    <s v="U32167732"/>
    <s v="Standard"/>
    <s v="Delivered"/>
    <n v="170"/>
    <s v="Kanpur"/>
    <x v="1"/>
    <s v="Less than 5 kgs"/>
    <s v="N.A."/>
    <d v="2024-10-07T00:00:00"/>
    <s v="N.A."/>
    <n v="3"/>
    <n v="1.7"/>
    <s v="Delayed"/>
    <s v="Friday"/>
  </r>
  <r>
    <d v="2024-10-04T00:00:00"/>
    <s v="October-2024"/>
    <s v="U32167733"/>
    <s v="Standard"/>
    <s v="Delivered"/>
    <n v="70"/>
    <s v="Kanpur"/>
    <x v="4"/>
    <s v="Less than 5 kgs"/>
    <s v="N.A."/>
    <d v="2024-10-07T00:00:00"/>
    <s v="N.A."/>
    <n v="3"/>
    <n v="2.406779661016949"/>
    <s v="Delayed"/>
    <s v="Friday"/>
  </r>
  <r>
    <d v="2024-10-04T00:00:00"/>
    <s v="October-2024"/>
    <s v="U32167734"/>
    <s v="Standard"/>
    <s v="Delivered"/>
    <n v="70"/>
    <s v="Kanpur"/>
    <x v="4"/>
    <s v="Less than 5 kgs"/>
    <s v="N.A."/>
    <d v="2024-10-07T00:00:00"/>
    <s v="N.A."/>
    <n v="3"/>
    <n v="2.406779661016949"/>
    <s v="Delayed"/>
    <s v="Friday"/>
  </r>
  <r>
    <d v="2024-10-04T00:00:00"/>
    <s v="October-2024"/>
    <s v="U32167735"/>
    <s v="Standard"/>
    <s v="Delivered"/>
    <n v="70"/>
    <s v="Kanpur"/>
    <x v="4"/>
    <s v="Less than 5 kgs"/>
    <s v="N.A."/>
    <d v="2024-10-07T00:00:00"/>
    <s v="N.A."/>
    <n v="3"/>
    <n v="2.406779661016949"/>
    <s v="Delayed"/>
    <s v="Friday"/>
  </r>
  <r>
    <d v="2024-10-04T00:00:00"/>
    <s v="October-2024"/>
    <s v="U32167736"/>
    <s v="Standard"/>
    <s v="Delivered"/>
    <n v="70"/>
    <s v="Kanpur"/>
    <x v="4"/>
    <s v="Less than 5 kgs"/>
    <s v="N.A."/>
    <d v="2024-10-07T00:00:00"/>
    <s v="N.A."/>
    <n v="3"/>
    <n v="2.406779661016949"/>
    <s v="Delayed"/>
    <s v="Friday"/>
  </r>
  <r>
    <d v="2024-10-04T00:00:00"/>
    <s v="October-2024"/>
    <s v="U32167737"/>
    <s v="Standard"/>
    <s v="Delivered"/>
    <n v="70"/>
    <s v="Kanpur"/>
    <x v="4"/>
    <s v="Less than 5 kgs"/>
    <s v="N.A."/>
    <d v="2024-10-07T00:00:00"/>
    <s v="N.A."/>
    <n v="3"/>
    <n v="2.406779661016949"/>
    <s v="Delayed"/>
    <s v="Friday"/>
  </r>
  <r>
    <d v="2024-10-04T00:00:00"/>
    <s v="October-2024"/>
    <s v="U32167738"/>
    <s v="Standard"/>
    <s v="Delivered"/>
    <n v="140"/>
    <s v="Kanpur"/>
    <x v="10"/>
    <s v="Less than 5 kgs"/>
    <s v="N.A."/>
    <d v="2024-10-08T00:00:00"/>
    <s v="N.A."/>
    <n v="4"/>
    <n v="3.6"/>
    <s v="Delayed"/>
    <s v="Friday"/>
  </r>
  <r>
    <d v="2024-10-04T00:00:00"/>
    <s v="October-2024"/>
    <s v="U32167739"/>
    <s v="Standard"/>
    <s v="Delivered"/>
    <n v="110"/>
    <s v="Kanpur"/>
    <x v="11"/>
    <s v="Less than 5 kgs"/>
    <s v="N.A."/>
    <d v="2024-10-07T00:00:00"/>
    <s v="N.A."/>
    <n v="3"/>
    <n v="3"/>
    <s v="On Time"/>
    <s v="Friday"/>
  </r>
  <r>
    <d v="2024-10-04T00:00:00"/>
    <s v="October-2024"/>
    <s v="U32167740"/>
    <s v="Standard"/>
    <s v="Delivered"/>
    <n v="90"/>
    <s v="Kanpur"/>
    <x v="12"/>
    <s v="Less than 5 kgs"/>
    <s v="N.A."/>
    <d v="2024-10-05T00:00:00"/>
    <s v="N.A."/>
    <n v="1"/>
    <n v="1.5"/>
    <s v="On Time"/>
    <s v="Friday"/>
  </r>
  <r>
    <d v="2024-10-04T00:00:00"/>
    <s v="October-2024"/>
    <s v="U32167741"/>
    <s v="Standard"/>
    <s v="Delivered"/>
    <n v="250"/>
    <s v="Kanpur"/>
    <x v="13"/>
    <s v="Less than 5 kgs"/>
    <s v="N.A."/>
    <d v="2024-10-16T00:00:00"/>
    <s v="N.A."/>
    <n v="12"/>
    <n v="12"/>
    <s v="On Time"/>
    <s v="Friday"/>
  </r>
  <r>
    <d v="2024-10-04T00:00:00"/>
    <s v="October-2024"/>
    <s v="U32167742"/>
    <s v="Standard"/>
    <s v="Delivered"/>
    <n v="320"/>
    <s v="Kanpur"/>
    <x v="7"/>
    <s v="Less than 5 kgs"/>
    <s v="Hair Kit"/>
    <d v="2024-10-07T00:00:00"/>
    <s v="N.A."/>
    <n v="3"/>
    <n v="3.4"/>
    <s v="On Time"/>
    <s v="Friday"/>
  </r>
  <r>
    <d v="2024-10-04T00:00:00"/>
    <s v="October-2024"/>
    <s v="V85748811"/>
    <s v="Express"/>
    <s v="Delivered"/>
    <n v="500"/>
    <s v="Kanpur"/>
    <x v="1"/>
    <s v="Less than 5 kgs"/>
    <s v="Passport"/>
    <d v="2024-10-04T00:00:00"/>
    <s v="N.A."/>
    <n v="0"/>
    <n v="1.7"/>
    <s v="On Time"/>
    <s v="Friday"/>
  </r>
  <r>
    <d v="2024-10-04T00:00:00"/>
    <s v="October-2024"/>
    <s v="V85748814"/>
    <s v="Express"/>
    <s v="Delivered"/>
    <n v="310"/>
    <s v="Kanpur"/>
    <x v="1"/>
    <s v="Less than 5 kgs"/>
    <s v="N.A."/>
    <d v="2024-10-05T00:00:00"/>
    <s v="N.A."/>
    <n v="1"/>
    <n v="1.7"/>
    <s v="On Time"/>
    <s v="Friday"/>
  </r>
  <r>
    <d v="2024-10-04T00:00:00"/>
    <s v="October-2024"/>
    <s v="V85748815"/>
    <s v="Express"/>
    <s v="Delivered"/>
    <n v="270"/>
    <s v="Kanpur"/>
    <x v="3"/>
    <s v="Less than 5 kgs"/>
    <s v="Original Degree"/>
    <d v="2024-10-05T00:00:00"/>
    <s v="N.A."/>
    <n v="1"/>
    <n v="2.0555555555555554"/>
    <s v="On Time"/>
    <s v="Friday"/>
  </r>
  <r>
    <d v="2024-10-05T00:00:00"/>
    <s v="October-2024"/>
    <s v="D93994452"/>
    <s v="Standard"/>
    <s v="Delivered"/>
    <n v="640"/>
    <s v="Kanpur"/>
    <x v="2"/>
    <s v="More than 5 kgs"/>
    <s v="Eatables"/>
    <d v="2024-10-07T00:00:00"/>
    <s v="N.A."/>
    <n v="2"/>
    <n v="2.1428571428571428"/>
    <s v="On Time"/>
    <s v="Saturday"/>
  </r>
  <r>
    <d v="2024-10-05T00:00:00"/>
    <s v="October-2024"/>
    <s v="D93994453"/>
    <s v="Standard"/>
    <s v="Delivered"/>
    <n v="1000"/>
    <s v="Kanpur"/>
    <x v="2"/>
    <s v="More than 5 kgs"/>
    <s v="Curtains"/>
    <d v="2024-10-07T00:00:00"/>
    <s v="N.A."/>
    <n v="2"/>
    <n v="2.1428571428571428"/>
    <s v="On Time"/>
    <s v="Saturday"/>
  </r>
  <r>
    <d v="2024-10-05T00:00:00"/>
    <s v="October-2024"/>
    <s v="D93994454"/>
    <s v="Standard"/>
    <s v="Delivered"/>
    <n v="1540"/>
    <s v="Kanpur"/>
    <x v="14"/>
    <s v="More than 5 kgs"/>
    <s v="Clothes"/>
    <d v="2024-10-08T00:00:00"/>
    <s v="N.A."/>
    <n v="3"/>
    <n v="3"/>
    <s v="On Time"/>
    <s v="Saturday"/>
  </r>
  <r>
    <d v="2024-10-05T00:00:00"/>
    <s v="October-2024"/>
    <s v="U32167743"/>
    <s v="Standard"/>
    <s v="Delivered"/>
    <n v="110"/>
    <s v="Kanpur"/>
    <x v="15"/>
    <s v="Less than 5 kgs"/>
    <s v="N.A."/>
    <d v="2024-10-08T00:00:00"/>
    <s v="N.A."/>
    <n v="3"/>
    <n v="2.3333333333333335"/>
    <s v="Delayed"/>
    <s v="Saturday"/>
  </r>
  <r>
    <d v="2024-10-05T00:00:00"/>
    <s v="October-2024"/>
    <s v="U32167744"/>
    <s v="Standard"/>
    <s v="Delivered"/>
    <n v="210"/>
    <s v="Kanpur"/>
    <x v="16"/>
    <s v="Less than 5 kgs"/>
    <s v="N.A."/>
    <d v="2024-10-08T00:00:00"/>
    <s v="N.A."/>
    <n v="3"/>
    <n v="4.5999999999999996"/>
    <s v="On Time"/>
    <s v="Saturday"/>
  </r>
  <r>
    <d v="2024-10-05T00:00:00"/>
    <s v="October-2024"/>
    <s v="U32167745"/>
    <s v="Standard"/>
    <s v="Delivered"/>
    <n v="150"/>
    <s v="Kanpur"/>
    <x v="17"/>
    <s v="Less than 5 kgs"/>
    <s v="Clothes"/>
    <d v="2024-10-08T00:00:00"/>
    <s v="N.A."/>
    <n v="3"/>
    <n v="3"/>
    <s v="On Time"/>
    <s v="Saturday"/>
  </r>
  <r>
    <d v="2024-10-05T00:00:00"/>
    <s v="October-2024"/>
    <s v="U32167746"/>
    <s v="Standard"/>
    <s v="Delivered"/>
    <n v="350"/>
    <s v="Kanpur"/>
    <x v="18"/>
    <s v="Less than 5 kgs"/>
    <s v="Clothes"/>
    <d v="2024-10-08T00:00:00"/>
    <s v="N.A."/>
    <n v="3"/>
    <n v="3"/>
    <s v="On Time"/>
    <s v="Saturday"/>
  </r>
  <r>
    <d v="2024-10-05T00:00:00"/>
    <s v="October-2024"/>
    <s v="U32167747"/>
    <s v="Standard"/>
    <s v="Delivered"/>
    <n v="120"/>
    <s v="Kanpur"/>
    <x v="4"/>
    <s v="Less than 5 kgs"/>
    <s v="Earphones"/>
    <d v="2024-10-07T00:00:00"/>
    <s v="N.A."/>
    <n v="2"/>
    <n v="2.406779661016949"/>
    <s v="On Time"/>
    <s v="Saturday"/>
  </r>
  <r>
    <d v="2024-10-05T00:00:00"/>
    <s v="October-2024"/>
    <s v="U32167748"/>
    <s v="Standard"/>
    <s v="Delivered"/>
    <n v="90"/>
    <s v="Kanpur"/>
    <x v="4"/>
    <s v="Less than 5 kgs"/>
    <s v="N.A."/>
    <d v="2024-10-07T00:00:00"/>
    <s v="N.A."/>
    <n v="2"/>
    <n v="2.406779661016949"/>
    <s v="On Time"/>
    <s v="Saturday"/>
  </r>
  <r>
    <d v="2024-10-05T00:00:00"/>
    <s v="October-2024"/>
    <s v="U32167749"/>
    <s v="Standard"/>
    <s v="Delivered"/>
    <n v="110"/>
    <s v="Kanpur"/>
    <x v="1"/>
    <s v="Less than 5 kgs"/>
    <s v="N.A."/>
    <d v="2024-10-07T00:00:00"/>
    <s v="N.A."/>
    <n v="2"/>
    <n v="1.7"/>
    <s v="Delayed"/>
    <s v="Saturday"/>
  </r>
  <r>
    <d v="2024-10-05T00:00:00"/>
    <s v="October-2024"/>
    <s v="U32167750"/>
    <s v="Standard"/>
    <s v="Delivered"/>
    <n v="150"/>
    <s v="Kanpur"/>
    <x v="4"/>
    <s v="Less than 5 kgs"/>
    <s v="N.A."/>
    <d v="2024-10-07T00:00:00"/>
    <s v="N.A."/>
    <n v="2"/>
    <n v="2.406779661016949"/>
    <s v="On Time"/>
    <s v="Saturday"/>
  </r>
  <r>
    <d v="2024-10-05T00:00:00"/>
    <s v="October-2024"/>
    <s v="U32167751"/>
    <s v="Standard"/>
    <s v="Delivered"/>
    <n v="210"/>
    <s v="Kanpur"/>
    <x v="19"/>
    <s v="Less than 5 kgs"/>
    <s v="Jadi Booti"/>
    <d v="2024-10-16T00:00:00"/>
    <s v="N.A."/>
    <n v="11"/>
    <n v="11"/>
    <s v="On Time"/>
    <s v="Saturday"/>
  </r>
  <r>
    <d v="2024-10-05T00:00:00"/>
    <s v="October-2024"/>
    <s v="U32167752"/>
    <s v="Standard"/>
    <s v="Delivered"/>
    <n v="170"/>
    <s v="Kanpur"/>
    <x v="9"/>
    <s v="Less than 5 kgs"/>
    <s v="N.A."/>
    <d v="2024-10-10T00:00:00"/>
    <s v="N.A."/>
    <n v="5"/>
    <n v="3.5185185185185186"/>
    <s v="Delayed"/>
    <s v="Saturday"/>
  </r>
  <r>
    <d v="2024-10-05T00:00:00"/>
    <s v="October-2024"/>
    <s v="U32167753"/>
    <s v="Standard"/>
    <s v="Delivered"/>
    <n v="170"/>
    <s v="Kanpur"/>
    <x v="9"/>
    <s v="Less than 5 kgs"/>
    <s v="N.A."/>
    <d v="2024-10-10T00:00:00"/>
    <s v="N.A."/>
    <n v="5"/>
    <n v="3.5185185185185186"/>
    <s v="Delayed"/>
    <s v="Saturday"/>
  </r>
  <r>
    <d v="2024-10-05T00:00:00"/>
    <s v="October-2024"/>
    <s v="U32167754"/>
    <s v="Standard"/>
    <s v="Delivered"/>
    <n v="170"/>
    <s v="Kanpur"/>
    <x v="9"/>
    <s v="Less than 5 kgs"/>
    <s v="N.A."/>
    <d v="2024-10-10T00:00:00"/>
    <s v="N.A."/>
    <n v="5"/>
    <n v="3.5185185185185186"/>
    <s v="Delayed"/>
    <s v="Saturday"/>
  </r>
  <r>
    <d v="2024-10-05T00:00:00"/>
    <s v="October-2024"/>
    <s v="U32167755"/>
    <s v="Standard"/>
    <s v="Delivered"/>
    <n v="140"/>
    <s v="Kanpur"/>
    <x v="9"/>
    <s v="Less than 5 kgs"/>
    <s v="N.A."/>
    <d v="2024-10-10T00:00:00"/>
    <s v="N.A."/>
    <n v="5"/>
    <n v="3.5185185185185186"/>
    <s v="Delayed"/>
    <s v="Saturday"/>
  </r>
  <r>
    <d v="2024-10-05T00:00:00"/>
    <s v="October-2024"/>
    <s v="U32167756"/>
    <s v="Standard"/>
    <s v="Delivered"/>
    <n v="140"/>
    <s v="Kanpur"/>
    <x v="9"/>
    <s v="Less than 5 kgs"/>
    <s v="N.A."/>
    <d v="2024-10-10T00:00:00"/>
    <s v="N.A."/>
    <n v="5"/>
    <n v="3.5185185185185186"/>
    <s v="Delayed"/>
    <s v="Saturday"/>
  </r>
  <r>
    <d v="2024-10-05T00:00:00"/>
    <s v="October-2024"/>
    <s v="U32167757"/>
    <s v="Standard"/>
    <s v="Delivered"/>
    <n v="140"/>
    <s v="Kanpur"/>
    <x v="9"/>
    <s v="Less than 5 kgs"/>
    <s v="N.A."/>
    <d v="2024-10-10T00:00:00"/>
    <s v="N.A."/>
    <n v="5"/>
    <n v="3.5185185185185186"/>
    <s v="Delayed"/>
    <s v="Saturday"/>
  </r>
  <r>
    <d v="2024-10-05T00:00:00"/>
    <s v="October-2024"/>
    <s v="U32167758"/>
    <s v="Standard"/>
    <s v="Delivered"/>
    <n v="140"/>
    <s v="Kanpur"/>
    <x v="9"/>
    <s v="Less than 5 kgs"/>
    <s v="N.A."/>
    <d v="2024-10-10T00:00:00"/>
    <s v="N.A."/>
    <n v="5"/>
    <n v="3.5185185185185186"/>
    <s v="Delayed"/>
    <s v="Saturday"/>
  </r>
  <r>
    <d v="2024-10-05T00:00:00"/>
    <s v="October-2024"/>
    <s v="U32167759"/>
    <s v="Standard"/>
    <s v="Delivered"/>
    <n v="120"/>
    <s v="Kanpur"/>
    <x v="3"/>
    <s v="Less than 5 kgs"/>
    <s v="N.A."/>
    <d v="2024-10-07T00:00:00"/>
    <s v="N.A."/>
    <n v="2"/>
    <n v="2.0555555555555554"/>
    <s v="On Time"/>
    <s v="Saturday"/>
  </r>
  <r>
    <d v="2024-10-05T00:00:00"/>
    <s v="October-2024"/>
    <s v="U32167760"/>
    <s v="Standard"/>
    <s v="Delivered"/>
    <n v="120"/>
    <s v="Kanpur"/>
    <x v="3"/>
    <s v="Less than 5 kgs"/>
    <s v="N.A."/>
    <d v="2024-10-07T00:00:00"/>
    <s v="N.A."/>
    <n v="2"/>
    <n v="2.0555555555555554"/>
    <s v="On Time"/>
    <s v="Saturday"/>
  </r>
  <r>
    <d v="2024-10-05T00:00:00"/>
    <s v="October-2024"/>
    <s v="U32167761"/>
    <s v="Standard"/>
    <s v="Delivered"/>
    <n v="140"/>
    <s v="Kanpur"/>
    <x v="7"/>
    <s v="Less than 5 kgs"/>
    <s v="N.A."/>
    <d v="2024-10-10T00:00:00"/>
    <s v="N.A."/>
    <n v="5"/>
    <n v="3.4"/>
    <s v="Delayed"/>
    <s v="Saturday"/>
  </r>
  <r>
    <d v="2024-10-05T00:00:00"/>
    <s v="October-2024"/>
    <s v="U32167762"/>
    <s v="Standard"/>
    <s v="Delivered"/>
    <n v="70"/>
    <s v="Kanpur"/>
    <x v="4"/>
    <s v="Less than 5 kgs"/>
    <s v="N.A."/>
    <d v="2024-10-10T00:00:00"/>
    <s v="N.A."/>
    <n v="5"/>
    <n v="2.406779661016949"/>
    <s v="Delayed"/>
    <s v="Saturday"/>
  </r>
  <r>
    <d v="2024-10-05T00:00:00"/>
    <s v="October-2024"/>
    <s v="U32167763"/>
    <s v="Standard"/>
    <s v="Delivered"/>
    <n v="70"/>
    <s v="Kanpur"/>
    <x v="4"/>
    <s v="Less than 5 kgs"/>
    <s v="N.A."/>
    <d v="2024-10-10T00:00:00"/>
    <s v="N.A."/>
    <n v="5"/>
    <n v="2.406779661016949"/>
    <s v="Delayed"/>
    <s v="Saturday"/>
  </r>
  <r>
    <d v="2024-10-05T00:00:00"/>
    <s v="October-2024"/>
    <s v="U32167764"/>
    <s v="Standard"/>
    <s v="Delivered"/>
    <n v="70"/>
    <s v="Kanpur"/>
    <x v="4"/>
    <s v="Less than 5 kgs"/>
    <s v="N.A."/>
    <d v="2024-10-10T00:00:00"/>
    <s v="N.A."/>
    <n v="5"/>
    <n v="2.406779661016949"/>
    <s v="Delayed"/>
    <s v="Saturday"/>
  </r>
  <r>
    <d v="2024-10-05T00:00:00"/>
    <s v="October-2024"/>
    <s v="U32167765"/>
    <s v="Standard"/>
    <s v="Delivered"/>
    <n v="70"/>
    <s v="Kanpur"/>
    <x v="4"/>
    <s v="Less than 5 kgs"/>
    <s v="N.A."/>
    <d v="2024-10-10T00:00:00"/>
    <s v="N.A."/>
    <n v="5"/>
    <n v="2.406779661016949"/>
    <s v="Delayed"/>
    <s v="Saturday"/>
  </r>
  <r>
    <d v="2024-10-05T00:00:00"/>
    <s v="October-2024"/>
    <s v="U32167766"/>
    <s v="Standard"/>
    <s v="Delivered"/>
    <n v="90"/>
    <s v="Kanpur"/>
    <x v="4"/>
    <s v="Less than 5 kgs"/>
    <s v="N.A."/>
    <d v="2024-10-10T00:00:00"/>
    <s v="N.A."/>
    <n v="5"/>
    <n v="2.406779661016949"/>
    <s v="Delayed"/>
    <s v="Saturday"/>
  </r>
  <r>
    <d v="2024-10-05T00:00:00"/>
    <s v="October-2024"/>
    <s v="U32167767"/>
    <s v="Standard"/>
    <s v="Delivered"/>
    <n v="90"/>
    <s v="Kanpur"/>
    <x v="4"/>
    <s v="Less than 5 kgs"/>
    <s v="N.A."/>
    <d v="2024-10-10T00:00:00"/>
    <s v="N.A."/>
    <n v="5"/>
    <n v="2.406779661016949"/>
    <s v="Delayed"/>
    <s v="Saturday"/>
  </r>
  <r>
    <d v="2024-10-05T00:00:00"/>
    <s v="October-2024"/>
    <s v="U32167768"/>
    <s v="Standard"/>
    <s v="Delivered"/>
    <n v="90"/>
    <s v="Kanpur"/>
    <x v="4"/>
    <s v="Less than 5 kgs"/>
    <s v="N.A."/>
    <d v="2024-10-10T00:00:00"/>
    <s v="N.A."/>
    <n v="5"/>
    <n v="2.406779661016949"/>
    <s v="Delayed"/>
    <s v="Saturday"/>
  </r>
  <r>
    <d v="2024-10-05T00:00:00"/>
    <s v="October-2024"/>
    <s v="U32167769"/>
    <s v="Standard"/>
    <s v="Delivered"/>
    <n v="140"/>
    <s v="Kanpur"/>
    <x v="4"/>
    <s v="Less than 5 kgs"/>
    <s v="N.A."/>
    <d v="2024-10-10T00:00:00"/>
    <s v="N.A."/>
    <n v="5"/>
    <n v="2.406779661016949"/>
    <s v="Delayed"/>
    <s v="Saturday"/>
  </r>
  <r>
    <d v="2024-10-05T00:00:00"/>
    <s v="October-2024"/>
    <s v="U32167770"/>
    <s v="Standard"/>
    <s v="Delivered"/>
    <n v="70"/>
    <s v="Kanpur"/>
    <x v="4"/>
    <s v="Less than 5 kgs"/>
    <s v="N.A."/>
    <d v="2024-10-10T00:00:00"/>
    <s v="N.A."/>
    <n v="5"/>
    <n v="2.406779661016949"/>
    <s v="Delayed"/>
    <s v="Saturday"/>
  </r>
  <r>
    <d v="2024-10-05T00:00:00"/>
    <s v="October-2024"/>
    <s v="U32167771"/>
    <s v="Standard"/>
    <s v="Delivered"/>
    <n v="70"/>
    <s v="Kanpur"/>
    <x v="4"/>
    <s v="Less than 5 kgs"/>
    <s v="N.A."/>
    <d v="2024-10-09T00:00:00"/>
    <s v="N.A."/>
    <n v="4"/>
    <n v="2.406779661016949"/>
    <s v="Delayed"/>
    <s v="Saturday"/>
  </r>
  <r>
    <d v="2024-10-05T00:00:00"/>
    <s v="October-2024"/>
    <s v="U32167772"/>
    <s v="Standard"/>
    <s v="Delivered"/>
    <n v="90"/>
    <s v="Kanpur"/>
    <x v="4"/>
    <s v="Less than 5 kgs"/>
    <s v="N.A."/>
    <d v="2024-10-09T00:00:00"/>
    <s v="N.A."/>
    <n v="4"/>
    <n v="2.406779661016949"/>
    <s v="Delayed"/>
    <s v="Saturday"/>
  </r>
  <r>
    <d v="2024-10-05T00:00:00"/>
    <s v="October-2024"/>
    <s v="U32167773"/>
    <s v="Standard"/>
    <s v="Delivered"/>
    <n v="120"/>
    <s v="Kanpur"/>
    <x v="4"/>
    <s v="Less than 5 kgs"/>
    <s v="N.A."/>
    <d v="2024-10-09T00:00:00"/>
    <s v="N.A."/>
    <n v="4"/>
    <n v="2.406779661016949"/>
    <s v="Delayed"/>
    <s v="Saturday"/>
  </r>
  <r>
    <d v="2024-10-05T00:00:00"/>
    <s v="October-2024"/>
    <s v="V85748816"/>
    <s v="Express"/>
    <s v="Delivered"/>
    <n v="970"/>
    <s v="Kanpur"/>
    <x v="20"/>
    <s v="Less than 5 kgs"/>
    <s v="Documents"/>
    <d v="2024-10-09T00:00:00"/>
    <s v="N.A."/>
    <n v="4"/>
    <n v="4"/>
    <s v="On Time"/>
    <s v="Saturday"/>
  </r>
  <r>
    <d v="2024-10-06T00:00:00"/>
    <s v="October-2024"/>
    <s v="U32167774"/>
    <s v="Standard"/>
    <s v="Delivered"/>
    <n v="170"/>
    <s v="Kanpur"/>
    <x v="7"/>
    <s v="Less than 5 kgs"/>
    <s v="N.A."/>
    <d v="2024-10-10T00:00:00"/>
    <s v="N.A."/>
    <n v="4"/>
    <n v="3.4"/>
    <s v="Delayed"/>
    <s v="Sunday"/>
  </r>
  <r>
    <d v="2024-10-06T00:00:00"/>
    <s v="October-2024"/>
    <s v="U32167775"/>
    <s v="Standard"/>
    <s v="Delivered"/>
    <n v="90"/>
    <s v="Kanpur"/>
    <x v="1"/>
    <s v="Less than 5 kgs"/>
    <s v="N.A."/>
    <d v="2024-10-08T00:00:00"/>
    <s v="N.A."/>
    <n v="2"/>
    <n v="1.7"/>
    <s v="Delayed"/>
    <s v="Sunday"/>
  </r>
  <r>
    <d v="2024-10-07T00:00:00"/>
    <s v="October-2024"/>
    <s v="D93994455"/>
    <s v="Standard"/>
    <s v="Delivered"/>
    <n v="840"/>
    <s v="Kanpur"/>
    <x v="21"/>
    <s v="More than 5 kgs"/>
    <s v="Pooja Accessories"/>
    <d v="2024-10-10T00:00:00"/>
    <s v="N.A."/>
    <n v="3"/>
    <n v="3"/>
    <s v="On Time"/>
    <s v="Monday"/>
  </r>
  <r>
    <d v="2024-10-07T00:00:00"/>
    <s v="October-2024"/>
    <s v="U32167776"/>
    <s v="Standard"/>
    <s v="Delivered"/>
    <n v="90"/>
    <s v="Kanpur"/>
    <x v="22"/>
    <s v="Less than 5 kgs"/>
    <s v="Cake Topper"/>
    <d v="2024-10-08T00:00:00"/>
    <s v="N.A."/>
    <n v="1"/>
    <n v="1"/>
    <s v="On Time"/>
    <s v="Monday"/>
  </r>
  <r>
    <d v="2024-10-07T00:00:00"/>
    <s v="October-2024"/>
    <s v="U32167777"/>
    <s v="Standard"/>
    <s v="Delivered"/>
    <n v="350"/>
    <s v="Kanpur"/>
    <x v="1"/>
    <s v="Less than 5 kgs"/>
    <s v="N.A."/>
    <d v="2024-10-09T00:00:00"/>
    <s v="N.A."/>
    <n v="2"/>
    <n v="1.7"/>
    <s v="Delayed"/>
    <s v="Monday"/>
  </r>
  <r>
    <d v="2024-10-07T00:00:00"/>
    <s v="October-2024"/>
    <s v="U32167778"/>
    <s v="Standard"/>
    <s v="Delivered"/>
    <n v="90"/>
    <s v="Kanpur"/>
    <x v="4"/>
    <s v="Less than 5 kgs"/>
    <s v="Swab"/>
    <d v="2024-10-09T00:00:00"/>
    <s v="N.A."/>
    <n v="2"/>
    <n v="2.406779661016949"/>
    <s v="On Time"/>
    <s v="Monday"/>
  </r>
  <r>
    <d v="2024-10-07T00:00:00"/>
    <s v="October-2024"/>
    <s v="U32167779"/>
    <s v="Standard"/>
    <s v="Delivered"/>
    <n v="320"/>
    <s v="Kanpur"/>
    <x v="7"/>
    <s v="Less than 5 kgs"/>
    <s v="N.A."/>
    <d v="2024-10-10T00:00:00"/>
    <s v="N.A."/>
    <n v="3"/>
    <n v="3.4"/>
    <s v="On Time"/>
    <s v="Monday"/>
  </r>
  <r>
    <d v="2024-10-07T00:00:00"/>
    <s v="October-2024"/>
    <s v="U32167780"/>
    <s v="Standard"/>
    <s v="Delivered"/>
    <n v="150"/>
    <s v="Kanpur"/>
    <x v="7"/>
    <s v="Less than 5 kgs"/>
    <s v="N.A."/>
    <d v="2024-10-10T00:00:00"/>
    <s v="N.A."/>
    <n v="3"/>
    <n v="3.4"/>
    <s v="On Time"/>
    <s v="Monday"/>
  </r>
  <r>
    <d v="2024-10-07T00:00:00"/>
    <s v="October-2024"/>
    <s v="U32167781"/>
    <s v="Standard"/>
    <s v="Delivered"/>
    <n v="90"/>
    <s v="Kanpur"/>
    <x v="4"/>
    <s v="Less than 5 kgs"/>
    <s v="N.A."/>
    <d v="2024-10-09T00:00:00"/>
    <s v="N.A."/>
    <n v="2"/>
    <n v="2.406779661016949"/>
    <s v="On Time"/>
    <s v="Monday"/>
  </r>
  <r>
    <d v="2024-10-07T00:00:00"/>
    <s v="October-2024"/>
    <s v="U32167782"/>
    <s v="Standard"/>
    <s v="Delivered"/>
    <n v="140"/>
    <s v="Kanpur"/>
    <x v="16"/>
    <s v="Less than 5 kgs"/>
    <s v="N.A."/>
    <d v="2024-10-14T00:00:00"/>
    <s v="N.A."/>
    <n v="7"/>
    <n v="4.5999999999999996"/>
    <s v="Delayed"/>
    <s v="Monday"/>
  </r>
  <r>
    <d v="2024-10-07T00:00:00"/>
    <s v="October-2024"/>
    <s v="U32167783"/>
    <s v="Standard"/>
    <s v="Delivered"/>
    <n v="90"/>
    <s v="Kanpur"/>
    <x v="3"/>
    <s v="Less than 5 kgs"/>
    <s v="N.A."/>
    <d v="2024-10-09T00:00:00"/>
    <s v="N.A."/>
    <n v="2"/>
    <n v="2.0555555555555554"/>
    <s v="On Time"/>
    <s v="Monday"/>
  </r>
  <r>
    <d v="2024-10-07T00:00:00"/>
    <s v="October-2024"/>
    <s v="U32167784"/>
    <s v="Standard"/>
    <s v="Delivered"/>
    <n v="90"/>
    <s v="Kanpur"/>
    <x v="1"/>
    <s v="Less than 5 kgs"/>
    <s v="N.A."/>
    <d v="2024-10-09T00:00:00"/>
    <s v="N.A."/>
    <n v="2"/>
    <n v="1.7"/>
    <s v="Delayed"/>
    <s v="Monday"/>
  </r>
  <r>
    <d v="2024-10-07T00:00:00"/>
    <s v="October-2024"/>
    <s v="U32167785"/>
    <s v="Standard"/>
    <s v="Delivered"/>
    <n v="90"/>
    <s v="Kanpur"/>
    <x v="1"/>
    <s v="Less than 5 kgs"/>
    <s v="N.A."/>
    <d v="2024-10-09T00:00:00"/>
    <s v="N.A."/>
    <n v="2"/>
    <n v="1.7"/>
    <s v="Delayed"/>
    <s v="Monday"/>
  </r>
  <r>
    <d v="2024-10-07T00:00:00"/>
    <s v="October-2024"/>
    <s v="U32167786"/>
    <s v="Standard"/>
    <s v="Delivered"/>
    <n v="140"/>
    <s v="Kanpur"/>
    <x v="10"/>
    <s v="Less than 5 kgs"/>
    <s v="N.A."/>
    <d v="2024-10-10T00:00:00"/>
    <s v="N.A."/>
    <n v="3"/>
    <n v="3.6"/>
    <s v="On Time"/>
    <s v="Monday"/>
  </r>
  <r>
    <d v="2024-10-07T00:00:00"/>
    <s v="October-2024"/>
    <s v="U32167787"/>
    <s v="Standard"/>
    <s v="Delivered"/>
    <n v="90"/>
    <s v="Kanpur"/>
    <x v="23"/>
    <s v="Less than 5 kgs"/>
    <s v="N.A."/>
    <d v="2024-10-09T00:00:00"/>
    <s v="N.A."/>
    <n v="2"/>
    <n v="2.1666666666666665"/>
    <s v="On Time"/>
    <s v="Monday"/>
  </r>
  <r>
    <d v="2024-10-07T00:00:00"/>
    <s v="October-2024"/>
    <s v="U32167788"/>
    <s v="Standard"/>
    <s v="Delivered"/>
    <n v="100"/>
    <s v="Kanpur"/>
    <x v="4"/>
    <s v="Less than 5 kgs"/>
    <s v="N.A."/>
    <d v="2024-10-09T00:00:00"/>
    <s v="N.A."/>
    <n v="2"/>
    <n v="2.406779661016949"/>
    <s v="On Time"/>
    <s v="Monday"/>
  </r>
  <r>
    <d v="2024-10-07T00:00:00"/>
    <s v="October-2024"/>
    <s v="U32167789"/>
    <s v="Standard"/>
    <s v="Delivered"/>
    <n v="120"/>
    <s v="Kanpur"/>
    <x v="23"/>
    <s v="Less than 5 kgs"/>
    <s v="N.A."/>
    <d v="2024-10-09T00:00:00"/>
    <s v="N.A."/>
    <n v="2"/>
    <n v="2.1666666666666665"/>
    <s v="On Time"/>
    <s v="Monday"/>
  </r>
  <r>
    <d v="2024-10-07T00:00:00"/>
    <s v="October-2024"/>
    <s v="U32167790"/>
    <s v="Standard"/>
    <s v="Delivered"/>
    <n v="90"/>
    <s v="Kanpur"/>
    <x v="23"/>
    <s v="Less than 5 kgs"/>
    <s v="N.A."/>
    <d v="2024-10-09T00:00:00"/>
    <s v="N.A."/>
    <n v="2"/>
    <n v="2.1666666666666665"/>
    <s v="On Time"/>
    <s v="Monday"/>
  </r>
  <r>
    <d v="2024-10-07T00:00:00"/>
    <s v="October-2024"/>
    <s v="U32167791"/>
    <s v="Standard"/>
    <s v="Delivered"/>
    <n v="140"/>
    <s v="Kanpur"/>
    <x v="16"/>
    <s v="Less than 5 kgs"/>
    <s v="N.A."/>
    <d v="2024-10-14T00:00:00"/>
    <s v="N.A."/>
    <n v="7"/>
    <n v="4.5999999999999996"/>
    <s v="Delayed"/>
    <s v="Monday"/>
  </r>
  <r>
    <d v="2024-10-07T00:00:00"/>
    <s v="October-2024"/>
    <s v="U32167792"/>
    <s v="Standard"/>
    <s v="Delivered"/>
    <n v="90"/>
    <s v="Kanpur"/>
    <x v="3"/>
    <s v="Less than 5 kgs"/>
    <s v="N.A."/>
    <d v="2024-10-09T00:00:00"/>
    <s v="N.A."/>
    <n v="2"/>
    <n v="2.0555555555555554"/>
    <s v="On Time"/>
    <s v="Monday"/>
  </r>
  <r>
    <d v="2024-10-07T00:00:00"/>
    <s v="October-2024"/>
    <s v="U32167793"/>
    <s v="Standard"/>
    <s v="Delivered"/>
    <n v="90"/>
    <s v="Kanpur"/>
    <x v="3"/>
    <s v="Less than 5 kgs"/>
    <s v="N.A."/>
    <d v="2024-10-09T00:00:00"/>
    <s v="N.A."/>
    <n v="2"/>
    <n v="2.0555555555555554"/>
    <s v="On Time"/>
    <s v="Monday"/>
  </r>
  <r>
    <d v="2024-10-07T00:00:00"/>
    <s v="October-2024"/>
    <s v="V85748817"/>
    <s v="Express"/>
    <s v="Delivered"/>
    <n v="390"/>
    <s v="Kanpur"/>
    <x v="24"/>
    <s v="Less than 5 kgs"/>
    <s v="Original Degree"/>
    <d v="2024-10-11T00:00:00"/>
    <s v="N.A."/>
    <n v="4"/>
    <n v="4"/>
    <s v="On Time"/>
    <s v="Monday"/>
  </r>
  <r>
    <d v="2024-10-07T00:00:00"/>
    <s v="October-2024"/>
    <s v="V85748818"/>
    <s v="Express"/>
    <s v="Delivered"/>
    <n v="855"/>
    <s v="Kanpur"/>
    <x v="1"/>
    <s v="Less than 5 kgs"/>
    <s v="Eatables"/>
    <d v="2024-10-08T00:00:00"/>
    <s v="N.A."/>
    <n v="1"/>
    <n v="1.7"/>
    <s v="On Time"/>
    <s v="Monday"/>
  </r>
  <r>
    <d v="2024-10-07T00:00:00"/>
    <s v="October-2024"/>
    <s v="V85748819"/>
    <s v="Express"/>
    <s v="Delivered"/>
    <n v="1250"/>
    <s v="Kanpur"/>
    <x v="25"/>
    <s v="Less than 5 kgs"/>
    <s v="Clothes"/>
    <d v="2024-10-09T00:00:00"/>
    <s v="N.A."/>
    <n v="2"/>
    <n v="2"/>
    <s v="On Time"/>
    <s v="Monday"/>
  </r>
  <r>
    <d v="2024-10-07T00:00:00"/>
    <s v="October-2024"/>
    <s v="V85940501"/>
    <s v="Express"/>
    <s v="Delivered"/>
    <n v="310"/>
    <s v="Kanpur"/>
    <x v="1"/>
    <s v="Less than 5 kgs"/>
    <s v="N.A."/>
    <d v="2024-10-08T00:00:00"/>
    <s v="N.A."/>
    <n v="1"/>
    <n v="1.7"/>
    <s v="On Time"/>
    <s v="Monday"/>
  </r>
  <r>
    <d v="2024-10-07T00:00:00"/>
    <s v="October-2024"/>
    <s v="V85940502"/>
    <s v="Express"/>
    <s v="Delivered"/>
    <n v="350"/>
    <s v="Kanpur"/>
    <x v="26"/>
    <s v="Less than 5 kgs"/>
    <s v="Original Degree"/>
    <d v="2024-10-10T00:00:00"/>
    <s v="N.A."/>
    <n v="3"/>
    <n v="3"/>
    <s v="On Time"/>
    <s v="Monday"/>
  </r>
  <r>
    <d v="2024-10-08T00:00:00"/>
    <s v="October-2024"/>
    <s v="U32167794"/>
    <s v="Standard"/>
    <s v="Delivered"/>
    <n v="110"/>
    <s v="Kanpur"/>
    <x v="2"/>
    <s v="Less than 5 kgs"/>
    <s v="Clothes"/>
    <d v="2024-10-10T00:00:00"/>
    <s v="N.A."/>
    <n v="2"/>
    <n v="2.1428571428571428"/>
    <s v="On Time"/>
    <s v="Tuesday"/>
  </r>
  <r>
    <d v="2024-10-08T00:00:00"/>
    <s v="October-2024"/>
    <s v="U32167795"/>
    <s v="Standard"/>
    <s v="Delivered"/>
    <n v="90"/>
    <s v="Kanpur"/>
    <x v="27"/>
    <s v="Less than 5 kgs"/>
    <s v="N.A."/>
    <d v="2024-10-09T00:00:00"/>
    <s v="N.A."/>
    <n v="1"/>
    <n v="1"/>
    <s v="On Time"/>
    <s v="Tuesday"/>
  </r>
  <r>
    <d v="2024-10-08T00:00:00"/>
    <s v="October-2024"/>
    <s v="U32167796"/>
    <s v="Standard"/>
    <s v="Delivered"/>
    <n v="150"/>
    <s v="Kanpur"/>
    <x v="28"/>
    <s v="Less than 5 kgs"/>
    <s v="N.A."/>
    <d v="2024-10-09T00:00:00"/>
    <s v="N.A."/>
    <n v="1"/>
    <n v="1"/>
    <s v="On Time"/>
    <s v="Tuesday"/>
  </r>
  <r>
    <d v="2024-10-08T00:00:00"/>
    <s v="October-2024"/>
    <s v="U32167797"/>
    <s v="Standard"/>
    <s v="Delivered"/>
    <n v="210"/>
    <s v="Kanpur"/>
    <x v="29"/>
    <s v="Less than 5 kgs"/>
    <s v="Wallet"/>
    <d v="2024-10-11T00:00:00"/>
    <s v="N.A."/>
    <n v="3"/>
    <n v="3.5"/>
    <s v="On Time"/>
    <s v="Tuesday"/>
  </r>
  <r>
    <d v="2024-10-08T00:00:00"/>
    <s v="October-2024"/>
    <s v="U32167798"/>
    <s v="Standard"/>
    <s v="Delivered"/>
    <n v="150"/>
    <s v="Kanpur"/>
    <x v="0"/>
    <s v="Less than 5 kgs"/>
    <s v="N.A."/>
    <d v="2024-10-10T00:00:00"/>
    <s v="N.A."/>
    <n v="2"/>
    <n v="2.2000000000000002"/>
    <s v="On Time"/>
    <s v="Tuesday"/>
  </r>
  <r>
    <d v="2024-10-08T00:00:00"/>
    <s v="October-2024"/>
    <s v="U32167799"/>
    <s v="Standard"/>
    <s v="Delivered"/>
    <n v="120"/>
    <s v="Kanpur"/>
    <x v="30"/>
    <s v="Less than 5 kgs"/>
    <s v="N.A."/>
    <d v="2024-10-10T00:00:00"/>
    <s v="N.A."/>
    <n v="2"/>
    <n v="2"/>
    <s v="On Time"/>
    <s v="Tuesday"/>
  </r>
  <r>
    <d v="2024-10-08T00:00:00"/>
    <s v="October-2024"/>
    <s v="U32593900"/>
    <s v="Standard"/>
    <s v="Delivered"/>
    <n v="480"/>
    <s v="Kanpur"/>
    <x v="31"/>
    <s v="Less than 5 kgs"/>
    <s v="N.A."/>
    <d v="2024-10-14T00:00:00"/>
    <s v="N.A."/>
    <n v="6"/>
    <n v="6"/>
    <s v="On Time"/>
    <s v="Tuesday"/>
  </r>
  <r>
    <d v="2024-10-08T00:00:00"/>
    <s v="October-2024"/>
    <s v="U32593901"/>
    <s v="Standard"/>
    <s v="Delivered"/>
    <n v="90"/>
    <s v="Kanpur"/>
    <x v="4"/>
    <s v="Less than 5 kgs"/>
    <s v="N.A."/>
    <d v="2024-10-11T00:00:00"/>
    <s v="N.A."/>
    <n v="3"/>
    <n v="2.406779661016949"/>
    <s v="Delayed"/>
    <s v="Tuesday"/>
  </r>
  <r>
    <d v="2024-10-09T00:00:00"/>
    <s v="October-2024"/>
    <s v="U32593902"/>
    <s v="Standard"/>
    <s v="Delivered"/>
    <n v="140"/>
    <s v="Kanpur"/>
    <x v="1"/>
    <s v="Less than 5 kgs"/>
    <s v="N.A."/>
    <d v="2024-10-11T00:00:00"/>
    <s v="N.A."/>
    <n v="2"/>
    <n v="1.7"/>
    <s v="Delayed"/>
    <s v="Wednesday"/>
  </r>
  <r>
    <d v="2024-10-09T00:00:00"/>
    <s v="October-2024"/>
    <s v="U32593903"/>
    <s v="Standard"/>
    <s v="Delivered"/>
    <n v="150"/>
    <s v="Kanpur"/>
    <x v="12"/>
    <s v="Less than 5 kgs"/>
    <s v="N.A."/>
    <d v="2024-10-10T00:00:00"/>
    <s v="N.A."/>
    <n v="1"/>
    <n v="1.5"/>
    <s v="On Time"/>
    <s v="Wednesday"/>
  </r>
  <r>
    <d v="2024-10-09T00:00:00"/>
    <s v="October-2024"/>
    <s v="U32593904"/>
    <s v="Standard"/>
    <s v="Delivered"/>
    <n v="140"/>
    <s v="Kanpur"/>
    <x v="0"/>
    <s v="Less than 5 kgs"/>
    <s v="N.A."/>
    <d v="2024-10-11T00:00:00"/>
    <s v="N.A."/>
    <n v="2"/>
    <n v="2.2000000000000002"/>
    <s v="On Time"/>
    <s v="Wednesday"/>
  </r>
  <r>
    <d v="2024-10-09T00:00:00"/>
    <s v="October-2024"/>
    <s v="U32593905"/>
    <s v="Standard"/>
    <s v="Delivered"/>
    <n v="140"/>
    <s v="Kanpur"/>
    <x v="0"/>
    <s v="Less than 5 kgs"/>
    <s v="N.A."/>
    <d v="2024-10-11T00:00:00"/>
    <s v="N.A."/>
    <n v="2"/>
    <n v="2.2000000000000002"/>
    <s v="On Time"/>
    <s v="Wednesday"/>
  </r>
  <r>
    <d v="2024-10-09T00:00:00"/>
    <s v="October-2024"/>
    <s v="U32593906"/>
    <s v="Standard"/>
    <s v="Delivered"/>
    <n v="170"/>
    <s v="Kanpur"/>
    <x v="9"/>
    <s v="Less than 5 kgs"/>
    <s v="N.A."/>
    <d v="2024-10-14T00:00:00"/>
    <s v="N.A."/>
    <n v="5"/>
    <n v="3.5185185185185186"/>
    <s v="Delayed"/>
    <s v="Wednesday"/>
  </r>
  <r>
    <d v="2024-10-09T00:00:00"/>
    <s v="October-2024"/>
    <s v="U32593907"/>
    <s v="Standard"/>
    <s v="Delivered"/>
    <n v="300"/>
    <s v="Kanpur"/>
    <x v="3"/>
    <s v="Less than 5 kgs"/>
    <s v="N.A."/>
    <d v="2024-10-11T00:00:00"/>
    <s v="N.A."/>
    <n v="2"/>
    <n v="2.0555555555555554"/>
    <s v="On Time"/>
    <s v="Wednesday"/>
  </r>
  <r>
    <d v="2024-10-09T00:00:00"/>
    <s v="October-2024"/>
    <s v="U32593908"/>
    <s v="Standard"/>
    <s v="Delivered"/>
    <n v="210"/>
    <s v="Kanpur"/>
    <x v="15"/>
    <s v="Less than 5 kgs"/>
    <s v="N.A."/>
    <d v="2024-10-11T00:00:00"/>
    <s v="N.A."/>
    <n v="2"/>
    <n v="2.3333333333333335"/>
    <s v="On Time"/>
    <s v="Wednesday"/>
  </r>
  <r>
    <d v="2024-10-09T00:00:00"/>
    <s v="October-2024"/>
    <s v="U32593909"/>
    <s v="Standard"/>
    <s v="Delivered"/>
    <n v="110"/>
    <s v="Kanpur"/>
    <x v="32"/>
    <s v="Less than 5 kgs"/>
    <s v="N.A."/>
    <d v="2024-10-13T00:00:00"/>
    <s v="N.A."/>
    <n v="4"/>
    <n v="4"/>
    <s v="On Time"/>
    <s v="Wednesday"/>
  </r>
  <r>
    <d v="2024-10-09T00:00:00"/>
    <s v="October-2024"/>
    <s v="U32593910"/>
    <s v="Standard"/>
    <s v="Delivered"/>
    <n v="110"/>
    <s v="Kanpur"/>
    <x v="33"/>
    <s v="Less than 5 kgs"/>
    <s v="N.A."/>
    <d v="2024-10-10T00:00:00"/>
    <s v="N.A."/>
    <n v="1"/>
    <n v="1"/>
    <s v="On Time"/>
    <s v="Wednesday"/>
  </r>
  <r>
    <d v="2024-10-09T00:00:00"/>
    <s v="October-2024"/>
    <s v="U32593911"/>
    <s v="Standard"/>
    <s v="Delivered"/>
    <n v="140"/>
    <s v="Kanpur"/>
    <x v="33"/>
    <s v="Less than 5 kgs"/>
    <s v="N.A."/>
    <d v="2024-10-10T00:00:00"/>
    <s v="N.A."/>
    <n v="1"/>
    <n v="1"/>
    <s v="On Time"/>
    <s v="Wednesday"/>
  </r>
  <r>
    <d v="2024-10-09T00:00:00"/>
    <s v="October-2024"/>
    <s v="U32593912"/>
    <s v="Standard"/>
    <s v="Delivered"/>
    <n v="150"/>
    <s v="Kanpur"/>
    <x v="33"/>
    <s v="Less than 5 kgs"/>
    <s v="N.A."/>
    <d v="2024-10-10T00:00:00"/>
    <s v="N.A."/>
    <n v="1"/>
    <n v="1"/>
    <s v="On Time"/>
    <s v="Wednesday"/>
  </r>
  <r>
    <d v="2024-10-09T00:00:00"/>
    <s v="October-2024"/>
    <s v="U32593913"/>
    <s v="Standard"/>
    <s v="Delivered"/>
    <n v="110"/>
    <s v="Kanpur"/>
    <x v="1"/>
    <s v="Less than 5 kgs"/>
    <s v="N.A."/>
    <d v="2024-10-11T00:00:00"/>
    <s v="N.A."/>
    <n v="2"/>
    <n v="1.7"/>
    <s v="Delayed"/>
    <s v="Wednesday"/>
  </r>
  <r>
    <d v="2024-10-09T00:00:00"/>
    <s v="October-2024"/>
    <s v="U32593914"/>
    <s v="Standard"/>
    <s v="Delivered"/>
    <n v="150"/>
    <s v="Kanpur"/>
    <x v="34"/>
    <s v="Less than 5 kgs"/>
    <s v="N.A."/>
    <d v="2024-10-15T00:00:00"/>
    <s v="N.A."/>
    <n v="6"/>
    <n v="6"/>
    <s v="On Time"/>
    <s v="Wednesday"/>
  </r>
  <r>
    <d v="2024-10-09T00:00:00"/>
    <s v="October-2024"/>
    <s v="V85940503"/>
    <s v="Express"/>
    <s v="Delivered"/>
    <n v="390"/>
    <s v="Kanpur"/>
    <x v="35"/>
    <s v="Less than 5 kgs"/>
    <s v="Contact Lenses"/>
    <d v="2024-10-14T00:00:00"/>
    <s v="N.A."/>
    <n v="5"/>
    <n v="5"/>
    <s v="On Time"/>
    <s v="Wednesday"/>
  </r>
  <r>
    <d v="2024-10-10T00:00:00"/>
    <s v="October-2024"/>
    <s v="U32593915"/>
    <s v="Standard"/>
    <s v="Delivered"/>
    <n v="370"/>
    <s v="Kanpur"/>
    <x v="29"/>
    <s v="Less than 5 kgs"/>
    <s v="Clothes"/>
    <d v="2024-10-14T00:00:00"/>
    <s v="N.A."/>
    <n v="4"/>
    <n v="3.5"/>
    <s v="Delayed"/>
    <s v="Thursday"/>
  </r>
  <r>
    <d v="2024-10-10T00:00:00"/>
    <s v="October-2024"/>
    <s v="U32593916"/>
    <s v="Standard"/>
    <s v="Delivered"/>
    <n v="480"/>
    <s v="Kanpur"/>
    <x v="10"/>
    <s v="Less than 5 kgs"/>
    <s v="N.A."/>
    <d v="2024-10-13T00:00:00"/>
    <s v="N.A."/>
    <n v="3"/>
    <n v="3.6"/>
    <s v="On Time"/>
    <s v="Thursday"/>
  </r>
  <r>
    <d v="2024-10-10T00:00:00"/>
    <s v="October-2024"/>
    <s v="U32593917"/>
    <s v="Standard"/>
    <s v="Delivered"/>
    <n v="90"/>
    <s v="Kanpur"/>
    <x v="4"/>
    <s v="Less than 5 kgs"/>
    <s v="N.A."/>
    <d v="2024-10-14T00:00:00"/>
    <s v="N.A."/>
    <n v="4"/>
    <n v="2.406779661016949"/>
    <s v="Delayed"/>
    <s v="Thursday"/>
  </r>
  <r>
    <d v="2024-10-10T00:00:00"/>
    <s v="October-2024"/>
    <s v="U32593918"/>
    <s v="Standard"/>
    <s v="Delivered"/>
    <n v="540"/>
    <s v="Kanpur"/>
    <x v="36"/>
    <s v="Less than 5 kgs"/>
    <s v="N.A."/>
    <d v="2024-10-14T00:00:00"/>
    <s v="N.A."/>
    <n v="4"/>
    <n v="4"/>
    <s v="On Time"/>
    <s v="Thursday"/>
  </r>
  <r>
    <d v="2024-10-10T00:00:00"/>
    <s v="October-2024"/>
    <s v="U32593919"/>
    <s v="Standard"/>
    <s v="Delivered"/>
    <n v="240"/>
    <s v="Kanpur"/>
    <x v="37"/>
    <s v="Less than 5 kgs"/>
    <s v="N.A."/>
    <d v="2024-10-15T00:00:00"/>
    <s v="N.A."/>
    <n v="5"/>
    <n v="5"/>
    <s v="On Time"/>
    <s v="Thursday"/>
  </r>
  <r>
    <d v="2024-10-11T00:00:00"/>
    <s v="October-2024"/>
    <s v="D93994456"/>
    <s v="Standard"/>
    <s v="Delivered"/>
    <n v="670"/>
    <s v="Kanpur"/>
    <x v="9"/>
    <s v="More than 5 kgs"/>
    <s v="N.A."/>
    <d v="2024-10-17T00:00:00"/>
    <s v="N.A."/>
    <n v="6"/>
    <n v="3.5185185185185186"/>
    <s v="Delayed"/>
    <s v="Friday"/>
  </r>
  <r>
    <d v="2024-10-11T00:00:00"/>
    <s v="October-2024"/>
    <s v="V85940504"/>
    <s v="Express"/>
    <s v="Delivered"/>
    <n v="250"/>
    <s v="Kanpur"/>
    <x v="12"/>
    <s v="Less than 5 kgs"/>
    <s v="N.A."/>
    <d v="2024-10-14T00:00:00"/>
    <s v="N.A."/>
    <n v="3"/>
    <n v="1.5"/>
    <s v="Delayed"/>
    <s v="Friday"/>
  </r>
  <r>
    <d v="2024-10-12T00:00:00"/>
    <s v="October-2024"/>
    <s v="D93994457"/>
    <s v="Standard"/>
    <s v="Delivered"/>
    <n v="610"/>
    <s v="Kanpur"/>
    <x v="1"/>
    <s v="More than 5 kgs"/>
    <s v="N.A."/>
    <d v="2024-10-14T00:00:00"/>
    <s v="N.A."/>
    <n v="2"/>
    <n v="1.7"/>
    <s v="Delayed"/>
    <s v="Saturday"/>
  </r>
  <r>
    <d v="2024-10-12T00:00:00"/>
    <s v="October-2024"/>
    <s v="D93994458"/>
    <s v="Standard"/>
    <s v="Delivered"/>
    <n v="710"/>
    <s v="Kanpur"/>
    <x v="38"/>
    <s v="More than 5 kgs"/>
    <s v="N.A."/>
    <d v="2024-10-18T00:00:00"/>
    <s v="N.A."/>
    <n v="6"/>
    <n v="6"/>
    <s v="On Time"/>
    <s v="Saturday"/>
  </r>
  <r>
    <d v="2024-10-12T00:00:00"/>
    <s v="October-2024"/>
    <s v="U32593938"/>
    <s v="Standard"/>
    <s v="Delivered"/>
    <n v="140"/>
    <s v="Kanpur"/>
    <x v="39"/>
    <s v="Less than 5 kgs"/>
    <s v="N.A."/>
    <d v="2024-10-14T00:00:00"/>
    <s v="N.A."/>
    <n v="2"/>
    <n v="2"/>
    <s v="On Time"/>
    <s v="Saturday"/>
  </r>
  <r>
    <d v="2024-10-12T00:00:00"/>
    <s v="October-2024"/>
    <s v="U32593939"/>
    <s v="Standard"/>
    <s v="Delivered"/>
    <n v="130"/>
    <s v="Kanpur"/>
    <x v="2"/>
    <s v="Less than 5 kgs"/>
    <s v="N.A."/>
    <d v="2024-10-15T00:00:00"/>
    <s v="N.A."/>
    <n v="3"/>
    <n v="2.1428571428571428"/>
    <s v="Delayed"/>
    <s v="Saturday"/>
  </r>
  <r>
    <d v="2024-10-12T00:00:00"/>
    <s v="October-2024"/>
    <s v="V85940505"/>
    <s v="Express"/>
    <s v="Delivered"/>
    <n v="370"/>
    <s v="Kanpur"/>
    <x v="1"/>
    <s v="Less than 5 kgs"/>
    <s v="N.A."/>
    <d v="2024-10-14T00:00:00"/>
    <s v="N.A."/>
    <n v="2"/>
    <n v="1.7"/>
    <s v="Delayed"/>
    <s v="Saturday"/>
  </r>
  <r>
    <d v="2024-10-13T00:00:00"/>
    <s v="October-2024"/>
    <s v="U32593948"/>
    <s v="Standard"/>
    <s v="Delivered"/>
    <n v="170"/>
    <s v="Kanpur"/>
    <x v="9"/>
    <s v="Less than 5 kgs"/>
    <s v="N.A."/>
    <d v="2024-10-16T00:00:00"/>
    <s v="N.A."/>
    <n v="3"/>
    <n v="3.5185185185185186"/>
    <s v="On Time"/>
    <s v="Sunday"/>
  </r>
  <r>
    <d v="2024-10-14T00:00:00"/>
    <s v="October-2024"/>
    <s v="U32593949"/>
    <s v="Standard"/>
    <s v="Delivered"/>
    <n v="140"/>
    <s v="Kanpur"/>
    <x v="9"/>
    <s v="Less than 5 kgs"/>
    <s v="N.A."/>
    <d v="2024-10-16T00:00:00"/>
    <s v="N.A."/>
    <n v="2"/>
    <n v="3.5185185185185186"/>
    <s v="On Time"/>
    <s v="Monday"/>
  </r>
  <r>
    <d v="2024-10-14T00:00:00"/>
    <s v="October-2024"/>
    <s v="U32593950"/>
    <s v="Standard"/>
    <s v="Delivered"/>
    <n v="140"/>
    <s v="Kanpur"/>
    <x v="9"/>
    <s v="Less than 5 kgs"/>
    <s v="N.A."/>
    <d v="2024-10-16T00:00:00"/>
    <s v="N.A."/>
    <n v="2"/>
    <n v="3.5185185185185186"/>
    <s v="On Time"/>
    <s v="Monday"/>
  </r>
  <r>
    <d v="2024-10-14T00:00:00"/>
    <s v="October-2024"/>
    <s v="U32593951"/>
    <s v="Standard"/>
    <s v="Delivered"/>
    <n v="170"/>
    <s v="Kanpur"/>
    <x v="9"/>
    <s v="Less than 5 kgs"/>
    <s v="N.A."/>
    <d v="2024-10-16T00:00:00"/>
    <s v="N.A."/>
    <n v="2"/>
    <n v="3.5185185185185186"/>
    <s v="On Time"/>
    <s v="Monday"/>
  </r>
  <r>
    <d v="2024-10-14T00:00:00"/>
    <s v="October-2024"/>
    <s v="U32593952"/>
    <s v="Standard"/>
    <s v="Delivered"/>
    <n v="70"/>
    <s v="Kanpur"/>
    <x v="4"/>
    <s v="Less than 5 kgs"/>
    <s v="N.A."/>
    <d v="2024-10-15T00:00:00"/>
    <s v="N.A."/>
    <n v="1"/>
    <n v="2.406779661016949"/>
    <s v="On Time"/>
    <s v="Monday"/>
  </r>
  <r>
    <d v="2024-10-14T00:00:00"/>
    <s v="October-2024"/>
    <s v="U32593953"/>
    <s v="Standard"/>
    <s v="Delivered"/>
    <n v="70"/>
    <s v="Kanpur"/>
    <x v="4"/>
    <s v="Less than 5 kgs"/>
    <s v="N.A."/>
    <d v="2024-10-15T00:00:00"/>
    <s v="N.A."/>
    <n v="1"/>
    <n v="2.406779661016949"/>
    <s v="On Time"/>
    <s v="Monday"/>
  </r>
  <r>
    <d v="2024-10-14T00:00:00"/>
    <s v="October-2024"/>
    <s v="U32593954"/>
    <s v="Standard"/>
    <s v="Delivered"/>
    <n v="70"/>
    <s v="Kanpur"/>
    <x v="4"/>
    <s v="Less than 5 kgs"/>
    <s v="N.A."/>
    <d v="2024-10-15T00:00:00"/>
    <s v="N.A."/>
    <n v="1"/>
    <n v="2.406779661016949"/>
    <s v="On Time"/>
    <s v="Monday"/>
  </r>
  <r>
    <d v="2024-10-14T00:00:00"/>
    <s v="October-2024"/>
    <s v="U32593955"/>
    <s v="Standard"/>
    <s v="Delivered"/>
    <n v="90"/>
    <s v="Kanpur"/>
    <x v="4"/>
    <s v="Less than 5 kgs"/>
    <s v="N.A."/>
    <d v="2024-10-15T00:00:00"/>
    <s v="N.A."/>
    <n v="1"/>
    <n v="2.406779661016949"/>
    <s v="On Time"/>
    <s v="Monday"/>
  </r>
  <r>
    <d v="2024-10-14T00:00:00"/>
    <s v="October-2024"/>
    <s v="U32593956"/>
    <s v="Standard"/>
    <s v="Delivered"/>
    <n v="70"/>
    <s v="Kanpur"/>
    <x v="4"/>
    <s v="Less than 5 kgs"/>
    <s v="N.A."/>
    <d v="2024-10-15T00:00:00"/>
    <s v="N.A."/>
    <n v="1"/>
    <n v="2.406779661016949"/>
    <s v="On Time"/>
    <s v="Monday"/>
  </r>
  <r>
    <d v="2024-10-14T00:00:00"/>
    <s v="October-2024"/>
    <s v="U32593957"/>
    <s v="Standard"/>
    <s v="Delivered"/>
    <n v="90"/>
    <s v="Kanpur"/>
    <x v="4"/>
    <s v="Less than 5 kgs"/>
    <s v="N.A."/>
    <d v="2024-10-15T00:00:00"/>
    <s v="N.A."/>
    <n v="1"/>
    <n v="2.406779661016949"/>
    <s v="On Time"/>
    <s v="Monday"/>
  </r>
  <r>
    <d v="2024-10-14T00:00:00"/>
    <s v="October-2024"/>
    <s v="U32593958"/>
    <s v="Standard"/>
    <s v="Delivered"/>
    <n v="90"/>
    <s v="Kanpur"/>
    <x v="4"/>
    <s v="Less than 5 kgs"/>
    <s v="N.A."/>
    <d v="2024-10-15T00:00:00"/>
    <s v="N.A."/>
    <n v="1"/>
    <n v="2.406779661016949"/>
    <s v="On Time"/>
    <s v="Monday"/>
  </r>
  <r>
    <d v="2024-10-14T00:00:00"/>
    <s v="October-2024"/>
    <s v="U32593959"/>
    <s v="Standard"/>
    <s v="Delivered"/>
    <n v="90"/>
    <s v="Kanpur"/>
    <x v="4"/>
    <s v="Less than 5 kgs"/>
    <s v="N.A."/>
    <d v="2024-10-15T00:00:00"/>
    <s v="N.A."/>
    <n v="1"/>
    <n v="2.406779661016949"/>
    <s v="On Time"/>
    <s v="Monday"/>
  </r>
  <r>
    <d v="2024-10-14T00:00:00"/>
    <s v="October-2024"/>
    <s v="U32593960"/>
    <s v="Standard"/>
    <s v="Delivered"/>
    <n v="90"/>
    <s v="Kanpur"/>
    <x v="4"/>
    <s v="Less than 5 kgs"/>
    <s v="N.A."/>
    <d v="2024-10-15T00:00:00"/>
    <s v="N.A."/>
    <n v="1"/>
    <n v="2.406779661016949"/>
    <s v="On Time"/>
    <s v="Monday"/>
  </r>
  <r>
    <d v="2024-10-14T00:00:00"/>
    <s v="October-2024"/>
    <s v="U32593961"/>
    <s v="Standard"/>
    <s v="Delivered"/>
    <n v="90"/>
    <s v="Kanpur"/>
    <x v="4"/>
    <s v="Less than 5 kgs"/>
    <s v="N.A."/>
    <d v="2024-10-15T00:00:00"/>
    <s v="N.A."/>
    <n v="1"/>
    <n v="2.406779661016949"/>
    <s v="On Time"/>
    <s v="Monday"/>
  </r>
  <r>
    <d v="2024-10-14T00:00:00"/>
    <s v="October-2024"/>
    <s v="U32593962"/>
    <s v="Standard"/>
    <s v="Delivered"/>
    <n v="110"/>
    <s v="Kanpur"/>
    <x v="1"/>
    <s v="Less than 5 kgs"/>
    <s v="N.A."/>
    <d v="2024-10-15T00:00:00"/>
    <s v="N.A."/>
    <n v="1"/>
    <n v="1.7"/>
    <s v="On Time"/>
    <s v="Monday"/>
  </r>
  <r>
    <d v="2024-10-14T00:00:00"/>
    <s v="October-2024"/>
    <s v="U32593963"/>
    <s v="Standard"/>
    <s v="Delivered"/>
    <n v="90"/>
    <s v="Kanpur"/>
    <x v="4"/>
    <s v="Less than 5 kgs"/>
    <s v="N.A."/>
    <d v="2024-10-15T00:00:00"/>
    <s v="N.A."/>
    <n v="1"/>
    <n v="2.406779661016949"/>
    <s v="On Time"/>
    <s v="Monday"/>
  </r>
  <r>
    <d v="2024-10-14T00:00:00"/>
    <s v="October-2024"/>
    <s v="U32593964"/>
    <s v="Standard"/>
    <s v="Delivered"/>
    <n v="70"/>
    <s v="Kanpur"/>
    <x v="4"/>
    <s v="Less than 5 kgs"/>
    <s v="N.A."/>
    <d v="2024-10-15T00:00:00"/>
    <s v="N.A."/>
    <n v="1"/>
    <n v="2.406779661016949"/>
    <s v="On Time"/>
    <s v="Monday"/>
  </r>
  <r>
    <d v="2024-10-14T00:00:00"/>
    <s v="October-2024"/>
    <s v="U32593965"/>
    <s v="Standard"/>
    <s v="Delivered"/>
    <n v="90"/>
    <s v="Kanpur"/>
    <x v="4"/>
    <s v="Less than 5 kgs"/>
    <s v="N.A."/>
    <d v="2024-10-15T00:00:00"/>
    <s v="N.A."/>
    <n v="1"/>
    <n v="2.406779661016949"/>
    <s v="On Time"/>
    <s v="Monday"/>
  </r>
  <r>
    <d v="2024-10-14T00:00:00"/>
    <s v="October-2024"/>
    <s v="U32593966"/>
    <s v="Standard"/>
    <s v="Delivered"/>
    <n v="90"/>
    <s v="Kanpur"/>
    <x v="4"/>
    <s v="Less than 5 kgs"/>
    <s v="N.A."/>
    <d v="2024-10-15T00:00:00"/>
    <s v="N.A."/>
    <n v="1"/>
    <n v="2.406779661016949"/>
    <s v="On Time"/>
    <s v="Monday"/>
  </r>
  <r>
    <d v="2024-10-14T00:00:00"/>
    <s v="October-2024"/>
    <s v="U32593967"/>
    <s v="Standard"/>
    <s v="Delivered"/>
    <n v="90"/>
    <s v="Kanpur"/>
    <x v="4"/>
    <s v="Less than 5 kgs"/>
    <s v="N.A."/>
    <d v="2024-10-15T00:00:00"/>
    <s v="N.A."/>
    <n v="1"/>
    <n v="2.406779661016949"/>
    <s v="On Time"/>
    <s v="Monday"/>
  </r>
  <r>
    <d v="2024-10-14T00:00:00"/>
    <s v="October-2024"/>
    <s v="U32593968"/>
    <s v="Standard"/>
    <s v="Delivered"/>
    <n v="90"/>
    <s v="Kanpur"/>
    <x v="4"/>
    <s v="Less than 5 kgs"/>
    <s v="N.A."/>
    <d v="2024-10-15T00:00:00"/>
    <s v="N.A."/>
    <n v="1"/>
    <n v="2.406779661016949"/>
    <s v="On Time"/>
    <s v="Monday"/>
  </r>
  <r>
    <d v="2024-10-14T00:00:00"/>
    <s v="October-2024"/>
    <s v="U32593969"/>
    <s v="Standard"/>
    <s v="Delivered"/>
    <n v="70"/>
    <s v="Kanpur"/>
    <x v="3"/>
    <s v="Less than 5 kgs"/>
    <s v="N.A."/>
    <d v="2024-10-15T00:00:00"/>
    <s v="N.A."/>
    <n v="1"/>
    <n v="2.0555555555555554"/>
    <s v="On Time"/>
    <s v="Monday"/>
  </r>
  <r>
    <d v="2024-10-14T00:00:00"/>
    <s v="October-2024"/>
    <s v="U32593970"/>
    <s v="Standard"/>
    <s v="Delivered"/>
    <n v="90"/>
    <s v="Kanpur"/>
    <x v="1"/>
    <s v="Less than 5 kgs"/>
    <s v="N.A."/>
    <d v="2024-10-16T00:00:00"/>
    <s v="N.A."/>
    <n v="2"/>
    <n v="1.7"/>
    <s v="Delayed"/>
    <s v="Monday"/>
  </r>
  <r>
    <d v="2024-10-14T00:00:00"/>
    <s v="October-2024"/>
    <s v="U32593971"/>
    <s v="Standard"/>
    <s v="Delivered"/>
    <n v="70"/>
    <s v="Kanpur"/>
    <x v="4"/>
    <s v="Less than 5 kgs"/>
    <s v="N.A."/>
    <d v="2024-10-15T00:00:00"/>
    <s v="N.A."/>
    <n v="1"/>
    <n v="2.406779661016949"/>
    <s v="On Time"/>
    <s v="Monday"/>
  </r>
  <r>
    <d v="2024-10-14T00:00:00"/>
    <s v="October-2024"/>
    <s v="U32593972"/>
    <s v="Standard"/>
    <s v="Delivered"/>
    <n v="70"/>
    <s v="Kanpur"/>
    <x v="4"/>
    <s v="Less than 5 kgs"/>
    <s v="N.A."/>
    <d v="2024-10-15T00:00:00"/>
    <s v="N.A."/>
    <n v="1"/>
    <n v="2.406779661016949"/>
    <s v="On Time"/>
    <s v="Monday"/>
  </r>
  <r>
    <d v="2024-10-14T00:00:00"/>
    <s v="October-2024"/>
    <s v="U32593973"/>
    <s v="Standard"/>
    <s v="Delivered"/>
    <n v="90"/>
    <s v="Kanpur"/>
    <x v="4"/>
    <s v="Less than 5 kgs"/>
    <s v="N.A."/>
    <d v="2024-10-15T00:00:00"/>
    <s v="N.A."/>
    <n v="1"/>
    <n v="2.406779661016949"/>
    <s v="On Time"/>
    <s v="Monday"/>
  </r>
  <r>
    <d v="2024-10-14T00:00:00"/>
    <s v="October-2024"/>
    <s v="U32593974"/>
    <s v="Standard"/>
    <s v="Delivered"/>
    <n v="120"/>
    <s v="Kanpur"/>
    <x v="3"/>
    <s v="Less than 5 kgs"/>
    <s v="N.A."/>
    <d v="2024-10-15T00:00:00"/>
    <s v="N.A."/>
    <n v="1"/>
    <n v="2.0555555555555554"/>
    <s v="On Time"/>
    <s v="Monday"/>
  </r>
  <r>
    <d v="2024-10-14T00:00:00"/>
    <s v="October-2024"/>
    <s v="U32593975"/>
    <s v="Standard"/>
    <s v="Delivered"/>
    <n v="90"/>
    <s v="Kanpur"/>
    <x v="1"/>
    <s v="Less than 5 kgs"/>
    <s v="N.A."/>
    <d v="2024-10-16T00:00:00"/>
    <s v="N.A."/>
    <n v="2"/>
    <n v="1.7"/>
    <s v="Delayed"/>
    <s v="Monday"/>
  </r>
  <r>
    <d v="2024-10-14T00:00:00"/>
    <s v="October-2024"/>
    <s v="U32593976"/>
    <s v="Standard"/>
    <s v="Delivered"/>
    <n v="140"/>
    <s v="Kanpur"/>
    <x v="7"/>
    <s v="Less than 5 kgs"/>
    <s v="N.A."/>
    <d v="2024-10-16T00:00:00"/>
    <s v="N.A."/>
    <n v="2"/>
    <n v="3.4"/>
    <s v="On Time"/>
    <s v="Monday"/>
  </r>
  <r>
    <d v="2024-10-14T00:00:00"/>
    <s v="October-2024"/>
    <s v="U32593977"/>
    <s v="Standard"/>
    <s v="Delivered"/>
    <n v="90"/>
    <s v="Kanpur"/>
    <x v="23"/>
    <s v="Less than 5 kgs"/>
    <s v="N.A."/>
    <d v="2024-10-16T00:00:00"/>
    <s v="N.A."/>
    <n v="2"/>
    <n v="2.1666666666666665"/>
    <s v="On Time"/>
    <s v="Monday"/>
  </r>
  <r>
    <d v="2024-10-14T00:00:00"/>
    <s v="October-2024"/>
    <s v="U32593978"/>
    <s v="Standard"/>
    <s v="Delivered"/>
    <n v="120"/>
    <s v="Kanpur"/>
    <x v="1"/>
    <s v="Less than 5 kgs"/>
    <s v="N.A."/>
    <d v="2024-10-16T00:00:00"/>
    <s v="N.A."/>
    <n v="2"/>
    <n v="1.7"/>
    <s v="Delayed"/>
    <s v="Monday"/>
  </r>
  <r>
    <d v="2024-10-14T00:00:00"/>
    <s v="October-2024"/>
    <s v="U32593979"/>
    <s v="Standard"/>
    <s v="Delivered"/>
    <n v="480"/>
    <s v="Kanpur"/>
    <x v="40"/>
    <s v="Less than 5 kgs"/>
    <s v="Clothes"/>
    <d v="2024-10-17T00:00:00"/>
    <s v="N.A."/>
    <n v="3"/>
    <n v="3"/>
    <s v="On Time"/>
    <s v="Monday"/>
  </r>
  <r>
    <d v="2024-10-14T00:00:00"/>
    <s v="October-2024"/>
    <s v="U32593980"/>
    <s v="Standard"/>
    <s v="Delivered"/>
    <n v="230"/>
    <s v="Kanpur"/>
    <x v="2"/>
    <s v="Less than 5 kgs"/>
    <s v="N.A."/>
    <d v="2024-10-15T00:00:00"/>
    <s v="N.A."/>
    <n v="1"/>
    <n v="2.1428571428571428"/>
    <s v="On Time"/>
    <s v="Monday"/>
  </r>
  <r>
    <d v="2024-10-15T00:00:00"/>
    <s v="October-2024"/>
    <s v="D93994459"/>
    <s v="Standard"/>
    <s v="Delivered"/>
    <n v="650"/>
    <s v="Kanpur"/>
    <x v="15"/>
    <s v="More than 5 kgs"/>
    <s v="N.A."/>
    <d v="2024-10-17T00:00:00"/>
    <s v="N.A."/>
    <n v="2"/>
    <n v="2.3333333333333335"/>
    <s v="On Time"/>
    <s v="Tuesday"/>
  </r>
  <r>
    <d v="2024-10-15T00:00:00"/>
    <s v="October-2024"/>
    <s v="D93994460"/>
    <s v="Standard"/>
    <s v="Delivered"/>
    <n v="670"/>
    <s v="Kanpur"/>
    <x v="9"/>
    <s v="More than 5 kgs"/>
    <s v="N.A."/>
    <d v="2024-10-20T00:00:00"/>
    <s v="N.A."/>
    <n v="5"/>
    <n v="3.5185185185185186"/>
    <s v="Delayed"/>
    <s v="Tuesday"/>
  </r>
  <r>
    <d v="2024-10-15T00:00:00"/>
    <s v="October-2024"/>
    <s v="V85940506"/>
    <s v="Express"/>
    <s v="Delivered"/>
    <n v="1150"/>
    <s v="Kanpur"/>
    <x v="41"/>
    <s v="Less than 5 kgs"/>
    <s v="N.A."/>
    <d v="2024-10-17T00:00:00"/>
    <s v="N.A."/>
    <n v="2"/>
    <n v="2"/>
    <s v="On Time"/>
    <s v="Tuesday"/>
  </r>
  <r>
    <d v="2024-10-15T00:00:00"/>
    <s v="October-2024"/>
    <s v="V85940507"/>
    <s v="Express"/>
    <s v="Delivered"/>
    <n v="650"/>
    <s v="Kanpur"/>
    <x v="2"/>
    <s v="Less than 5 kgs"/>
    <s v="N.A."/>
    <d v="2024-10-16T00:00:00"/>
    <s v="N.A."/>
    <n v="1"/>
    <n v="2.1428571428571428"/>
    <s v="On Time"/>
    <s v="Tuesday"/>
  </r>
  <r>
    <d v="2024-10-16T00:00:00"/>
    <s v="October-2024"/>
    <s v="D93994461"/>
    <s v="Standard"/>
    <s v="Delivered"/>
    <n v="450"/>
    <s v="Kanpur"/>
    <x v="42"/>
    <s v="More than 5 kgs"/>
    <s v="N.A."/>
    <d v="2024-10-19T00:00:00"/>
    <s v="N.A."/>
    <n v="3"/>
    <n v="3"/>
    <s v="On Time"/>
    <s v="Wednesday"/>
  </r>
  <r>
    <d v="2024-10-16T00:00:00"/>
    <s v="October-2024"/>
    <s v="D93994462"/>
    <s v="Standard"/>
    <s v="Delivered"/>
    <n v="760"/>
    <s v="Kanpur"/>
    <x v="7"/>
    <s v="More than 5 kgs"/>
    <s v="N.A."/>
    <d v="2024-10-22T00:00:00"/>
    <s v="N.A."/>
    <n v="6"/>
    <n v="3.4"/>
    <s v="Delayed"/>
    <s v="Wednesday"/>
  </r>
  <r>
    <d v="2024-10-18T00:00:00"/>
    <s v="October-2024"/>
    <s v="D93994463"/>
    <s v="Standard"/>
    <s v="Delivered"/>
    <n v="1000"/>
    <s v="Kanpur"/>
    <x v="3"/>
    <s v="More than 5 kgs"/>
    <s v="N.A."/>
    <d v="2024-10-21T00:00:00"/>
    <s v="N.A."/>
    <n v="3"/>
    <n v="2.0555555555555554"/>
    <s v="Delayed"/>
    <s v="Friday"/>
  </r>
  <r>
    <d v="2024-10-19T00:00:00"/>
    <s v="October-2024"/>
    <s v="V85940508"/>
    <s v="Express"/>
    <s v="Delivered"/>
    <n v="490"/>
    <s v="Kanpur"/>
    <x v="3"/>
    <s v="Less than 5 kgs"/>
    <s v="N.A."/>
    <d v="2024-10-22T00:00:00"/>
    <s v="N.A."/>
    <n v="3"/>
    <n v="2.0555555555555554"/>
    <s v="Delayed"/>
    <s v="Saturday"/>
  </r>
  <r>
    <d v="2024-10-21T00:00:00"/>
    <s v="October-2024"/>
    <s v="D93994464"/>
    <s v="Standard"/>
    <s v="Delivered"/>
    <n v="1050"/>
    <s v="Kanpur"/>
    <x v="43"/>
    <s v="More than 5 kgs"/>
    <s v="N.A."/>
    <d v="2024-10-24T00:00:00"/>
    <s v="N.A."/>
    <n v="3"/>
    <n v="3"/>
    <s v="On Time"/>
    <s v="Monday"/>
  </r>
  <r>
    <d v="2024-10-21T00:00:00"/>
    <s v="October-2024"/>
    <s v="U32594040"/>
    <s v="Standard"/>
    <s v="Delivered"/>
    <n v="110"/>
    <s v="Kanpur"/>
    <x v="1"/>
    <s v="Less than 5 kgs"/>
    <s v="N.A."/>
    <d v="2024-10-22T00:00:00"/>
    <s v="N.A."/>
    <n v="1"/>
    <n v="1.7"/>
    <s v="On Time"/>
    <s v="Monday"/>
  </r>
  <r>
    <d v="2024-10-21T00:00:00"/>
    <s v="October-2024"/>
    <s v="U32594041"/>
    <s v="Standard"/>
    <s v="Delivered"/>
    <n v="110"/>
    <s v="Kanpur"/>
    <x v="1"/>
    <s v="Less than 5 kgs"/>
    <s v="N.A."/>
    <d v="2024-10-22T00:00:00"/>
    <s v="N.A."/>
    <n v="1"/>
    <n v="1.7"/>
    <s v="On Time"/>
    <s v="Monday"/>
  </r>
  <r>
    <d v="2024-10-21T00:00:00"/>
    <s v="October-2024"/>
    <s v="U32594042"/>
    <s v="Standard"/>
    <s v="Delivered"/>
    <n v="540"/>
    <s v="Kanpur"/>
    <x v="1"/>
    <s v="Less than 5 kgs"/>
    <s v="N.A."/>
    <d v="2024-10-22T00:00:00"/>
    <s v="N.A."/>
    <n v="1"/>
    <n v="1.7"/>
    <s v="On Time"/>
    <s v="Monday"/>
  </r>
  <r>
    <d v="2024-10-21T00:00:00"/>
    <s v="October-2024"/>
    <s v="U32594043"/>
    <s v="Standard"/>
    <s v="Delivered"/>
    <n v="150"/>
    <s v="Kanpur"/>
    <x v="7"/>
    <s v="Less than 5 kgs"/>
    <s v="Empty Box"/>
    <d v="2024-10-23T00:00:00"/>
    <s v="N.A."/>
    <n v="2"/>
    <n v="3.4"/>
    <s v="On Time"/>
    <s v="Monday"/>
  </r>
  <r>
    <d v="2024-10-21T00:00:00"/>
    <s v="October-2024"/>
    <s v="U32594044"/>
    <s v="Standard"/>
    <s v="Delivered"/>
    <n v="90"/>
    <s v="Kanpur"/>
    <x v="4"/>
    <s v="Less than 5 kgs"/>
    <s v="N.A."/>
    <d v="2024-10-22T00:00:00"/>
    <s v="N.A."/>
    <n v="1"/>
    <n v="2.406779661016949"/>
    <s v="On Time"/>
    <s v="Monday"/>
  </r>
  <r>
    <d v="2024-10-22T00:00:00"/>
    <s v="October-2024"/>
    <s v="D93994465"/>
    <s v="Standard"/>
    <s v="Delivered"/>
    <n v="340"/>
    <s v="Kanpur"/>
    <x v="12"/>
    <s v="More than 5 kgs"/>
    <s v="N.A."/>
    <d v="2024-10-23T00:00:00"/>
    <s v="N.A."/>
    <n v="1"/>
    <n v="1.5"/>
    <s v="On Time"/>
    <s v="Tuesday"/>
  </r>
  <r>
    <d v="2024-10-22T00:00:00"/>
    <s v="October-2024"/>
    <s v="D93994466"/>
    <s v="Standard"/>
    <s v="Delivered"/>
    <n v="480"/>
    <s v="Kanpur"/>
    <x v="9"/>
    <s v="More than 5 kgs"/>
    <s v="N.A."/>
    <d v="2024-10-30T00:00:00"/>
    <s v="N.A."/>
    <n v="8"/>
    <n v="3.5185185185185186"/>
    <s v="Delayed"/>
    <s v="Tuesday"/>
  </r>
  <r>
    <d v="2024-10-22T00:00:00"/>
    <s v="October-2024"/>
    <s v="D93994467"/>
    <s v="Standard"/>
    <s v="Delivered"/>
    <n v="520"/>
    <s v="Kanpur"/>
    <x v="9"/>
    <s v="More than 5 kgs"/>
    <s v="N.A."/>
    <d v="2024-10-27T00:00:00"/>
    <s v="N.A."/>
    <n v="5"/>
    <n v="3.5185185185185186"/>
    <s v="Delayed"/>
    <s v="Tuesday"/>
  </r>
  <r>
    <d v="2024-10-22T00:00:00"/>
    <s v="October-2024"/>
    <s v="D93994468"/>
    <s v="Standard"/>
    <s v="Delivered"/>
    <n v="1350"/>
    <s v="Kanpur"/>
    <x v="44"/>
    <s v="More than 5 kgs"/>
    <s v="N.A."/>
    <d v="2024-10-26T00:00:00"/>
    <s v="N.A."/>
    <n v="4"/>
    <n v="4"/>
    <s v="On Time"/>
    <s v="Tuesday"/>
  </r>
  <r>
    <d v="2024-10-22T00:00:00"/>
    <s v="October-2024"/>
    <s v="V85940509"/>
    <s v="Express"/>
    <s v="Delivered"/>
    <n v="320"/>
    <s v="Kanpur"/>
    <x v="7"/>
    <s v="Less than 5 kgs"/>
    <s v="N.A."/>
    <d v="2024-10-24T00:00:00"/>
    <s v="N.A."/>
    <n v="2"/>
    <n v="3.4"/>
    <s v="On Time"/>
    <s v="Tuesday"/>
  </r>
  <r>
    <d v="2024-10-23T00:00:00"/>
    <s v="October-2024"/>
    <s v="U32594073"/>
    <s v="Standard"/>
    <s v="Delivered"/>
    <n v="70"/>
    <s v="Kanpur"/>
    <x v="4"/>
    <s v="Less than 5 kgs"/>
    <s v="N.A."/>
    <d v="2024-10-24T00:00:00"/>
    <s v="N.A."/>
    <n v="1"/>
    <n v="2.406779661016949"/>
    <s v="On Time"/>
    <s v="Wednesday"/>
  </r>
  <r>
    <d v="2024-10-23T00:00:00"/>
    <s v="October-2024"/>
    <s v="U32594074"/>
    <s v="Standard"/>
    <s v="Delivered"/>
    <n v="70"/>
    <s v="Kanpur"/>
    <x v="4"/>
    <s v="Less than 5 kgs"/>
    <s v="N.A."/>
    <d v="2024-10-24T00:00:00"/>
    <s v="N.A."/>
    <n v="1"/>
    <n v="2.406779661016949"/>
    <s v="On Time"/>
    <s v="Wednesday"/>
  </r>
  <r>
    <d v="2024-10-23T00:00:00"/>
    <s v="October-2024"/>
    <s v="U32594075"/>
    <s v="Standard"/>
    <s v="Delivered"/>
    <n v="90"/>
    <s v="Kanpur"/>
    <x v="4"/>
    <s v="Less than 5 kgs"/>
    <s v="N.A."/>
    <d v="2024-10-24T00:00:00"/>
    <s v="N.A."/>
    <n v="1"/>
    <n v="2.406779661016949"/>
    <s v="On Time"/>
    <s v="Wednesday"/>
  </r>
  <r>
    <d v="2024-10-23T00:00:00"/>
    <s v="October-2024"/>
    <s v="U32594076"/>
    <s v="Standard"/>
    <s v="Delivered"/>
    <n v="90"/>
    <s v="Kanpur"/>
    <x v="4"/>
    <s v="Less than 5 kgs"/>
    <s v="N.A."/>
    <d v="2024-10-24T00:00:00"/>
    <s v="N.A."/>
    <n v="1"/>
    <n v="2.406779661016949"/>
    <s v="On Time"/>
    <s v="Wednesday"/>
  </r>
  <r>
    <d v="2024-10-23T00:00:00"/>
    <s v="October-2024"/>
    <s v="U32594077"/>
    <s v="Standard"/>
    <s v="Delivered"/>
    <n v="140"/>
    <s v="Kanpur"/>
    <x v="16"/>
    <s v="Less than 5 kgs"/>
    <s v="N.A."/>
    <d v="2024-10-26T00:00:00"/>
    <s v="N.A."/>
    <n v="3"/>
    <n v="4.5999999999999996"/>
    <s v="On Time"/>
    <s v="Wednesday"/>
  </r>
  <r>
    <d v="2024-10-23T00:00:00"/>
    <s v="October-2024"/>
    <s v="U32594078"/>
    <s v="Standard"/>
    <s v="Delivered"/>
    <n v="140"/>
    <s v="Kanpur"/>
    <x v="16"/>
    <s v="Less than 5 kgs"/>
    <s v="N.A."/>
    <d v="2024-10-26T00:00:00"/>
    <s v="N.A."/>
    <n v="3"/>
    <n v="4.5999999999999996"/>
    <s v="On Time"/>
    <s v="Wednesday"/>
  </r>
  <r>
    <d v="2024-10-23T00:00:00"/>
    <s v="October-2024"/>
    <s v="U32594079"/>
    <s v="Standard"/>
    <s v="Delivered"/>
    <n v="90"/>
    <s v="Kanpur"/>
    <x v="3"/>
    <s v="Less than 5 kgs"/>
    <s v="N.A."/>
    <d v="2024-10-25T00:00:00"/>
    <s v="N.A."/>
    <n v="2"/>
    <n v="2.0555555555555554"/>
    <s v="On Time"/>
    <s v="Wednesday"/>
  </r>
  <r>
    <d v="2024-10-23T00:00:00"/>
    <s v="October-2024"/>
    <s v="U32594080"/>
    <s v="Standard"/>
    <s v="Delivered"/>
    <n v="170"/>
    <s v="Kanpur"/>
    <x v="10"/>
    <s v="Less than 5 kgs"/>
    <s v="N.A."/>
    <d v="2024-10-28T00:00:00"/>
    <s v="N.A."/>
    <n v="5"/>
    <n v="3.6"/>
    <s v="Delayed"/>
    <s v="Wednesday"/>
  </r>
  <r>
    <d v="2024-10-23T00:00:00"/>
    <s v="October-2024"/>
    <s v="U32594081"/>
    <s v="Standard"/>
    <s v="Delivered"/>
    <n v="90"/>
    <s v="Kanpur"/>
    <x v="1"/>
    <s v="Less than 5 kgs"/>
    <s v="N.A."/>
    <d v="2024-10-25T00:00:00"/>
    <s v="N.A."/>
    <n v="2"/>
    <n v="1.7"/>
    <s v="Delayed"/>
    <s v="Wednesday"/>
  </r>
  <r>
    <d v="2024-10-23T00:00:00"/>
    <s v="October-2024"/>
    <s v="V85940510"/>
    <s v="Express"/>
    <s v="Delivered"/>
    <n v="540"/>
    <s v="Kanpur"/>
    <x v="45"/>
    <s v="Less than 5 kgs"/>
    <s v="N.A."/>
    <d v="2024-10-26T00:00:00"/>
    <s v="N.A."/>
    <n v="3"/>
    <n v="3"/>
    <s v="On Time"/>
    <s v="Wednesday"/>
  </r>
  <r>
    <d v="2024-10-23T00:00:00"/>
    <s v="October-2024"/>
    <s v="V85940511"/>
    <s v="Express"/>
    <s v="Delivered"/>
    <n v="310"/>
    <s v="Kanpur"/>
    <x v="9"/>
    <s v="Less than 5 kgs"/>
    <s v="N.A."/>
    <d v="2024-10-25T00:00:00"/>
    <s v="N.A."/>
    <n v="2"/>
    <n v="3.5185185185185186"/>
    <s v="On Time"/>
    <s v="Wednesday"/>
  </r>
  <r>
    <d v="2024-10-24T00:00:00"/>
    <s v="October-2024"/>
    <s v="U32594082"/>
    <s v="Standard"/>
    <s v="Delivered"/>
    <n v="90"/>
    <s v="Kanpur"/>
    <x v="1"/>
    <s v="Less than 5 kgs"/>
    <s v="N.A."/>
    <d v="2024-10-25T00:00:00"/>
    <s v="N.A."/>
    <n v="1"/>
    <n v="1.7"/>
    <s v="On Time"/>
    <s v="Thursday"/>
  </r>
  <r>
    <d v="2024-10-24T00:00:00"/>
    <s v="October-2024"/>
    <s v="U32594083"/>
    <s v="Standard"/>
    <s v="Delivered"/>
    <n v="1070"/>
    <s v="Kanpur"/>
    <x v="1"/>
    <s v="Less than 5 kgs"/>
    <s v="Clothes"/>
    <d v="2024-10-26T00:00:00"/>
    <s v="N.A."/>
    <n v="2"/>
    <n v="1.7"/>
    <s v="Delayed"/>
    <s v="Thursday"/>
  </r>
  <r>
    <d v="2024-10-24T00:00:00"/>
    <s v="October-2024"/>
    <s v="U32594084"/>
    <s v="Standard"/>
    <s v="Delivered"/>
    <n v="90"/>
    <s v="Kanpur"/>
    <x v="3"/>
    <s v="Less than 5 kgs"/>
    <s v="N.A."/>
    <d v="2024-10-26T00:00:00"/>
    <s v="N.A."/>
    <n v="2"/>
    <n v="2.0555555555555554"/>
    <s v="On Time"/>
    <s v="Thursday"/>
  </r>
  <r>
    <d v="2024-10-24T00:00:00"/>
    <s v="October-2024"/>
    <s v="U32594085"/>
    <s v="Standard"/>
    <s v="Delivered"/>
    <n v="150"/>
    <s v="Kanpur"/>
    <x v="1"/>
    <s v="Less than 5 kgs"/>
    <s v="N.A."/>
    <d v="2024-10-26T00:00:00"/>
    <s v="N.A."/>
    <n v="2"/>
    <n v="1.7"/>
    <s v="Delayed"/>
    <s v="Thursday"/>
  </r>
  <r>
    <d v="2024-10-24T00:00:00"/>
    <s v="October-2024"/>
    <s v="U32594086"/>
    <s v="Standard"/>
    <s v="Delivered"/>
    <n v="540"/>
    <s v="Kanpur"/>
    <x v="23"/>
    <s v="Less than 5 kgs"/>
    <s v="N.A."/>
    <d v="2024-10-26T00:00:00"/>
    <s v="N.A."/>
    <n v="2"/>
    <n v="2.1666666666666665"/>
    <s v="On Time"/>
    <s v="Thursday"/>
  </r>
  <r>
    <d v="2024-10-24T00:00:00"/>
    <s v="October-2024"/>
    <s v="U32594087"/>
    <s v="Standard"/>
    <s v="Delivered"/>
    <n v="750"/>
    <s v="Kanpur"/>
    <x v="10"/>
    <s v="Less than 5 kgs"/>
    <s v="N.A."/>
    <d v="2024-10-27T00:00:00"/>
    <s v="N.A."/>
    <n v="3"/>
    <n v="3.6"/>
    <s v="On Time"/>
    <s v="Thursday"/>
  </r>
  <r>
    <d v="2024-10-24T00:00:00"/>
    <s v="October-2024"/>
    <s v="V85940512"/>
    <s v="Express"/>
    <s v="Delivered"/>
    <n v="390"/>
    <s v="Kanpur"/>
    <x v="46"/>
    <s v="Less than 5 kgs"/>
    <s v="N.A."/>
    <d v="2024-10-28T00:00:00"/>
    <s v="N.A."/>
    <n v="4"/>
    <n v="4"/>
    <s v="On Time"/>
    <s v="Thursday"/>
  </r>
  <r>
    <d v="2024-10-24T00:00:00"/>
    <s v="October-2024"/>
    <s v="V85940513"/>
    <s v="Express"/>
    <s v="Delivered"/>
    <n v="310"/>
    <s v="Kanpur"/>
    <x v="1"/>
    <s v="Less than 5 kgs"/>
    <s v="N.A."/>
    <d v="2024-10-25T00:00:00"/>
    <s v="N.A."/>
    <n v="1"/>
    <n v="1.7"/>
    <s v="On Time"/>
    <s v="Thursday"/>
  </r>
  <r>
    <d v="2024-10-25T00:00:00"/>
    <s v="October-2024"/>
    <s v="U32594088"/>
    <s v="Standard"/>
    <s v="Delivered"/>
    <n v="150"/>
    <s v="Kanpur"/>
    <x v="47"/>
    <s v="Less than 5 kgs"/>
    <s v="Cup"/>
    <d v="2024-10-30T00:00:00"/>
    <s v="N.A."/>
    <n v="5"/>
    <n v="5"/>
    <s v="On Time"/>
    <s v="Friday"/>
  </r>
  <r>
    <d v="2024-10-25T00:00:00"/>
    <s v="October-2024"/>
    <s v="U32594089"/>
    <s v="Standard"/>
    <s v="Delivered"/>
    <n v="150"/>
    <s v="Kanpur"/>
    <x v="4"/>
    <s v="Less than 5 kgs"/>
    <s v="N.A."/>
    <d v="2024-10-26T00:00:00"/>
    <s v="N.A."/>
    <n v="1"/>
    <n v="2.406779661016949"/>
    <s v="On Time"/>
    <s v="Friday"/>
  </r>
  <r>
    <d v="2024-10-25T00:00:00"/>
    <s v="October-2024"/>
    <s v="U32594090"/>
    <s v="Standard"/>
    <s v="Delivered"/>
    <n v="380"/>
    <s v="Kanpur"/>
    <x v="1"/>
    <s v="Less than 5 kgs"/>
    <s v="Gift"/>
    <d v="2024-10-28T00:00:00"/>
    <s v="N.A."/>
    <n v="3"/>
    <n v="1.7"/>
    <s v="Delayed"/>
    <s v="Friday"/>
  </r>
  <r>
    <d v="2024-10-25T00:00:00"/>
    <s v="October-2024"/>
    <s v="U32594091"/>
    <s v="Standard"/>
    <s v="Delivered"/>
    <n v="650"/>
    <s v="Kanpur"/>
    <x v="48"/>
    <s v="Less than 5 kgs"/>
    <s v="N.A."/>
    <d v="2024-10-31T00:00:00"/>
    <s v="N.A."/>
    <n v="6"/>
    <n v="6"/>
    <s v="On Time"/>
    <s v="Friday"/>
  </r>
  <r>
    <d v="2024-10-25T00:00:00"/>
    <s v="October-2024"/>
    <s v="U32594092"/>
    <s v="Standard"/>
    <s v="Delivered"/>
    <n v="90"/>
    <s v="Kanpur"/>
    <x v="4"/>
    <s v="Less than 5 kgs"/>
    <s v="N.A."/>
    <d v="2024-10-28T00:00:00"/>
    <s v="N.A."/>
    <n v="3"/>
    <n v="2.406779661016949"/>
    <s v="Delayed"/>
    <s v="Friday"/>
  </r>
  <r>
    <d v="2024-10-25T00:00:00"/>
    <s v="October-2024"/>
    <s v="U32594093"/>
    <s v="Standard"/>
    <s v="Delivered"/>
    <n v="70"/>
    <s v="Kanpur"/>
    <x v="4"/>
    <s v="Less than 5 kgs"/>
    <s v="N.A."/>
    <d v="2024-10-28T00:00:00"/>
    <s v="N.A."/>
    <n v="3"/>
    <n v="2.406779661016949"/>
    <s v="Delayed"/>
    <s v="Friday"/>
  </r>
  <r>
    <d v="2024-10-25T00:00:00"/>
    <s v="October-2024"/>
    <s v="U32594094"/>
    <s v="Standard"/>
    <s v="Delivered"/>
    <n v="70"/>
    <s v="Kanpur"/>
    <x v="4"/>
    <s v="Less than 5 kgs"/>
    <s v="N.A."/>
    <d v="2024-10-28T00:00:00"/>
    <s v="N.A."/>
    <n v="3"/>
    <n v="2.406779661016949"/>
    <s v="Delayed"/>
    <s v="Friday"/>
  </r>
  <r>
    <d v="2024-10-25T00:00:00"/>
    <s v="October-2024"/>
    <s v="U32594095"/>
    <s v="Standard"/>
    <s v="Delivered"/>
    <n v="90"/>
    <s v="Kanpur"/>
    <x v="4"/>
    <s v="Less than 5 kgs"/>
    <s v="N.A."/>
    <d v="2024-10-28T00:00:00"/>
    <s v="N.A."/>
    <n v="3"/>
    <n v="2.406779661016949"/>
    <s v="Delayed"/>
    <s v="Friday"/>
  </r>
  <r>
    <d v="2024-10-25T00:00:00"/>
    <s v="October-2024"/>
    <s v="U32594096"/>
    <s v="Standard"/>
    <s v="Delivered"/>
    <n v="70"/>
    <s v="Kanpur"/>
    <x v="4"/>
    <s v="Less than 5 kgs"/>
    <s v="N.A."/>
    <d v="2024-10-28T00:00:00"/>
    <s v="N.A."/>
    <n v="3"/>
    <n v="2.406779661016949"/>
    <s v="Delayed"/>
    <s v="Friday"/>
  </r>
  <r>
    <d v="2024-10-25T00:00:00"/>
    <s v="October-2024"/>
    <s v="U32594097"/>
    <s v="Standard"/>
    <s v="Delivered"/>
    <n v="90"/>
    <s v="Kanpur"/>
    <x v="4"/>
    <s v="Less than 5 kgs"/>
    <s v="N.A."/>
    <d v="2024-10-28T00:00:00"/>
    <s v="N.A."/>
    <n v="3"/>
    <n v="2.406779661016949"/>
    <s v="Delayed"/>
    <s v="Friday"/>
  </r>
  <r>
    <d v="2024-10-25T00:00:00"/>
    <s v="October-2024"/>
    <s v="U32594098"/>
    <s v="Standard"/>
    <s v="Delivered"/>
    <n v="90"/>
    <s v="Kanpur"/>
    <x v="3"/>
    <s v="Less than 5 kgs"/>
    <s v="N.A."/>
    <d v="2024-10-28T00:00:00"/>
    <s v="N.A."/>
    <n v="3"/>
    <n v="2.0555555555555554"/>
    <s v="Delayed"/>
    <s v="Friday"/>
  </r>
  <r>
    <d v="2024-10-25T00:00:00"/>
    <s v="October-2024"/>
    <s v="U32594099"/>
    <s v="Standard"/>
    <s v="Delivered"/>
    <n v="150"/>
    <s v="Kanpur"/>
    <x v="49"/>
    <s v="Less than 5 kgs"/>
    <s v="N.A."/>
    <d v="2024-11-04T00:00:00"/>
    <s v="N.A."/>
    <n v="10"/>
    <n v="10"/>
    <s v="On Time"/>
    <s v="Friday"/>
  </r>
  <r>
    <d v="2024-10-25T00:00:00"/>
    <s v="October-2024"/>
    <s v="U32594100"/>
    <s v="Standard"/>
    <s v="Delivered"/>
    <n v="210"/>
    <s v="Kanpur"/>
    <x v="50"/>
    <s v="Less than 5 kgs"/>
    <s v="N.A."/>
    <d v="2024-10-28T00:00:00"/>
    <s v="N.A."/>
    <n v="3"/>
    <n v="3"/>
    <s v="On Time"/>
    <s v="Friday"/>
  </r>
  <r>
    <d v="2024-10-26T00:00:00"/>
    <s v="October-2024"/>
    <s v="U32594101"/>
    <s v="Standard"/>
    <s v="Returned"/>
    <n v="360"/>
    <s v="Kanpur"/>
    <x v="51"/>
    <s v="Less than 5 kgs"/>
    <s v="N.A."/>
    <d v="2024-10-29T00:00:00"/>
    <d v="2024-11-14T00:00:00"/>
    <s v=""/>
    <m/>
    <m/>
    <s v="Saturday"/>
  </r>
  <r>
    <d v="2024-10-26T00:00:00"/>
    <s v="October-2024"/>
    <s v="U32594102"/>
    <s v="Standard"/>
    <s v="Delivered"/>
    <n v="150"/>
    <s v="Kanpur"/>
    <x v="1"/>
    <s v="Less than 5 kgs"/>
    <s v="N.A."/>
    <d v="2024-10-29T00:00:00"/>
    <s v="N.A."/>
    <n v="3"/>
    <n v="1.7"/>
    <s v="Delayed"/>
    <s v="Saturday"/>
  </r>
  <r>
    <d v="2024-10-26T00:00:00"/>
    <s v="October-2024"/>
    <s v="U32594103"/>
    <s v="Standard"/>
    <s v="Delivered"/>
    <n v="120"/>
    <s v="Kanpur"/>
    <x v="23"/>
    <s v="Less than 5 kgs"/>
    <s v="Pooja Accessories"/>
    <d v="2024-10-29T00:00:00"/>
    <s v="N.A."/>
    <n v="3"/>
    <n v="2.1666666666666665"/>
    <s v="Delayed"/>
    <s v="Saturday"/>
  </r>
  <r>
    <d v="2024-10-26T00:00:00"/>
    <s v="October-2024"/>
    <s v="U32594104"/>
    <s v="Standard"/>
    <s v="Delivered"/>
    <n v="150"/>
    <s v="Kanpur"/>
    <x v="3"/>
    <s v="Less than 5 kgs"/>
    <s v="Clothes"/>
    <d v="2024-10-28T00:00:00"/>
    <s v="N.A."/>
    <n v="2"/>
    <n v="2.0555555555555554"/>
    <s v="On Time"/>
    <s v="Saturday"/>
  </r>
  <r>
    <d v="2024-10-28T00:00:00"/>
    <s v="October-2024"/>
    <s v="V85940514"/>
    <s v="Express"/>
    <s v="Delivered"/>
    <n v="250"/>
    <s v="Kanpur"/>
    <x v="3"/>
    <s v="Less than 5 kgs"/>
    <s v="N.A."/>
    <d v="2024-10-30T00:00:00"/>
    <s v="N.A."/>
    <n v="2"/>
    <n v="2.0555555555555554"/>
    <s v="On Time"/>
    <s v="Monday"/>
  </r>
  <r>
    <d v="2024-10-30T00:00:00"/>
    <s v="October-2024"/>
    <s v="V85940515"/>
    <s v="Express"/>
    <s v="Delivered"/>
    <n v="240"/>
    <s v="Kanpur"/>
    <x v="52"/>
    <s v="Less than 5 kgs"/>
    <s v="N.A."/>
    <d v="2024-11-02T00:00:00"/>
    <s v="N.A."/>
    <n v="3"/>
    <n v="3"/>
    <s v="On Time"/>
    <s v="Wednesday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6">
  <r>
    <d v="2024-10-01T00:00:00"/>
    <x v="0"/>
    <s v="V85748809"/>
    <s v="Express"/>
    <s v="Delivered"/>
    <n v="680"/>
    <s v="Kanpur"/>
    <x v="0"/>
    <s v="Less than 5 kgs"/>
    <s v="N.A."/>
    <d v="2024-10-03T00:00:00"/>
    <s v="N.A."/>
  </r>
  <r>
    <d v="2024-10-01T00:00:00"/>
    <x v="0"/>
    <s v="V85748810"/>
    <s v="Express"/>
    <s v="Delivered"/>
    <n v="310"/>
    <s v="Kanpur"/>
    <x v="1"/>
    <s v="Less than 5 kgs"/>
    <s v="N.A."/>
    <d v="2024-10-03T00:00:00"/>
    <s v="N.A."/>
  </r>
  <r>
    <d v="2024-10-03T00:00:00"/>
    <x v="0"/>
    <s v="U32167711"/>
    <s v="Standard"/>
    <s v="Delivered"/>
    <n v="320"/>
    <s v="Kanpur"/>
    <x v="2"/>
    <s v="Less than 5 kgs"/>
    <s v="Eatables"/>
    <d v="2024-10-07T00:00:00"/>
    <s v="N.A."/>
  </r>
  <r>
    <d v="2024-10-03T00:00:00"/>
    <x v="0"/>
    <s v="U32167712"/>
    <s v="Standard"/>
    <s v="Returned"/>
    <n v="140"/>
    <s v="Kanpur"/>
    <x v="3"/>
    <s v="Less than 5 kgs"/>
    <s v="N.A."/>
    <d v="2024-10-15T00:00:00"/>
    <d v="2024-11-08T00:00:00"/>
  </r>
  <r>
    <d v="2024-10-03T00:00:00"/>
    <x v="0"/>
    <s v="U32167713"/>
    <s v="Standard"/>
    <s v="Delivered"/>
    <n v="150"/>
    <s v="Kanpur"/>
    <x v="3"/>
    <s v="Less than 5 kgs"/>
    <s v="N.A."/>
    <d v="2024-10-05T00:00:00"/>
    <s v="N.A."/>
  </r>
  <r>
    <d v="2024-10-03T00:00:00"/>
    <x v="0"/>
    <s v="U32167714"/>
    <s v="Standard"/>
    <s v="Delivered"/>
    <n v="100"/>
    <s v="Kanpur"/>
    <x v="4"/>
    <s v="Less than 5 kgs"/>
    <s v="N.A."/>
    <d v="2024-10-05T00:00:00"/>
    <s v="N.A."/>
  </r>
  <r>
    <d v="2024-10-03T00:00:00"/>
    <x v="0"/>
    <s v="U32167715"/>
    <s v="Standard"/>
    <s v="Delivered"/>
    <n v="350"/>
    <s v="Kanpur"/>
    <x v="5"/>
    <s v="Less than 5 kgs"/>
    <s v="Clothes"/>
    <d v="2024-10-05T00:00:00"/>
    <s v="N.A."/>
  </r>
  <r>
    <d v="2024-10-03T00:00:00"/>
    <x v="0"/>
    <s v="U32167717"/>
    <s v="Standard"/>
    <s v="Delivered"/>
    <n v="230"/>
    <s v="Kanpur"/>
    <x v="6"/>
    <s v="Less than 5 kgs"/>
    <s v="N.A."/>
    <d v="2024-10-05T00:00:00"/>
    <s v="N.A."/>
  </r>
  <r>
    <d v="2024-10-03T00:00:00"/>
    <x v="0"/>
    <s v="U32167718"/>
    <s v="Standard"/>
    <s v="Delivered"/>
    <n v="720"/>
    <s v="Kanpur"/>
    <x v="7"/>
    <s v="Less than 5 kgs"/>
    <s v="N.A."/>
    <d v="2024-10-07T00:00:00"/>
    <s v="N.A."/>
  </r>
  <r>
    <d v="2024-10-03T00:00:00"/>
    <x v="0"/>
    <s v="U32167719"/>
    <s v="Standard"/>
    <s v="Delivered"/>
    <n v="90"/>
    <s v="Kanpur"/>
    <x v="6"/>
    <s v="Less than 5 kgs"/>
    <s v="N.A."/>
    <d v="2024-10-05T00:00:00"/>
    <s v="N.A."/>
  </r>
  <r>
    <d v="2024-10-03T00:00:00"/>
    <x v="0"/>
    <s v="V85748812"/>
    <s v="Express"/>
    <s v="Delivered"/>
    <n v="270"/>
    <s v="Kanpur"/>
    <x v="8"/>
    <s v="Less than 5 kgs"/>
    <s v="N.A."/>
    <d v="2024-10-07T00:00:00"/>
    <s v="N.A."/>
  </r>
  <r>
    <d v="2024-10-03T00:00:00"/>
    <x v="0"/>
    <s v="V85748813"/>
    <s v="Express"/>
    <s v="Delivered"/>
    <n v="500"/>
    <s v="Kanpur"/>
    <x v="1"/>
    <s v="Less than 5 kgs"/>
    <s v="Passport"/>
    <d v="2024-10-04T00:00:00"/>
    <s v="N.A."/>
  </r>
  <r>
    <d v="2024-10-04T00:00:00"/>
    <x v="0"/>
    <s v="D93994451"/>
    <s v="Standard"/>
    <s v="Delivered"/>
    <n v="480"/>
    <s v="Kanpur"/>
    <x v="4"/>
    <s v="More than 5 kgs"/>
    <s v="Clothes"/>
    <d v="2024-10-07T00:00:00"/>
    <s v="N.A."/>
  </r>
  <r>
    <d v="2024-10-04T00:00:00"/>
    <x v="0"/>
    <s v="U32167716"/>
    <s v="Standard"/>
    <s v="Delivered"/>
    <n v="90"/>
    <s v="Kanpur"/>
    <x v="4"/>
    <s v="Less than 5 kgs"/>
    <s v="N.A."/>
    <d v="2024-10-07T00:00:00"/>
    <s v="N.A."/>
  </r>
  <r>
    <d v="2024-10-04T00:00:00"/>
    <x v="0"/>
    <s v="U32167720"/>
    <s v="Standard"/>
    <s v="Delivered"/>
    <n v="140"/>
    <s v="Kanpur"/>
    <x v="9"/>
    <s v="Less than 5 kgs"/>
    <s v="N.A."/>
    <d v="2024-10-06T00:00:00"/>
    <s v="N.A."/>
  </r>
  <r>
    <d v="2024-10-04T00:00:00"/>
    <x v="0"/>
    <s v="U32167721"/>
    <s v="Standard"/>
    <s v="Delivered"/>
    <n v="140"/>
    <s v="Kanpur"/>
    <x v="9"/>
    <s v="Less than 5 kgs"/>
    <s v="N.A."/>
    <d v="2024-10-06T00:00:00"/>
    <s v="N.A."/>
  </r>
  <r>
    <d v="2024-10-04T00:00:00"/>
    <x v="0"/>
    <s v="U32167722"/>
    <s v="Standard"/>
    <s v="Delivered"/>
    <n v="140"/>
    <s v="Kanpur"/>
    <x v="9"/>
    <s v="Less than 5 kgs"/>
    <s v="N.A."/>
    <d v="2024-10-06T00:00:00"/>
    <s v="N.A."/>
  </r>
  <r>
    <d v="2024-10-04T00:00:00"/>
    <x v="0"/>
    <s v="U32167723"/>
    <s v="Standard"/>
    <s v="Delivered"/>
    <n v="140"/>
    <s v="Kanpur"/>
    <x v="9"/>
    <s v="Less than 5 kgs"/>
    <s v="N.A."/>
    <d v="2024-10-06T00:00:00"/>
    <s v="N.A."/>
  </r>
  <r>
    <d v="2024-10-04T00:00:00"/>
    <x v="0"/>
    <s v="U32167724"/>
    <s v="Standard"/>
    <s v="Delivered"/>
    <n v="140"/>
    <s v="Kanpur"/>
    <x v="9"/>
    <s v="Less than 5 kgs"/>
    <s v="N.A."/>
    <d v="2024-10-06T00:00:00"/>
    <s v="N.A."/>
  </r>
  <r>
    <d v="2024-10-04T00:00:00"/>
    <x v="0"/>
    <s v="U32167725"/>
    <s v="Standard"/>
    <s v="Delivered"/>
    <n v="140"/>
    <s v="Kanpur"/>
    <x v="9"/>
    <s v="Less than 5 kgs"/>
    <s v="N.A."/>
    <d v="2024-10-06T00:00:00"/>
    <s v="N.A."/>
  </r>
  <r>
    <d v="2024-10-04T00:00:00"/>
    <x v="0"/>
    <s v="U32167726"/>
    <s v="Standard"/>
    <s v="Delivered"/>
    <n v="140"/>
    <s v="Kanpur"/>
    <x v="9"/>
    <s v="Less than 5 kgs"/>
    <s v="N.A."/>
    <d v="2024-10-06T00:00:00"/>
    <s v="N.A."/>
  </r>
  <r>
    <d v="2024-10-04T00:00:00"/>
    <x v="0"/>
    <s v="U32167727"/>
    <s v="Standard"/>
    <s v="Delivered"/>
    <n v="140"/>
    <s v="Kanpur"/>
    <x v="9"/>
    <s v="Less than 5 kgs"/>
    <s v="N.A."/>
    <d v="2024-10-06T00:00:00"/>
    <s v="N.A."/>
  </r>
  <r>
    <d v="2024-10-04T00:00:00"/>
    <x v="0"/>
    <s v="U32167728"/>
    <s v="Standard"/>
    <s v="Delivered"/>
    <n v="140"/>
    <s v="Kanpur"/>
    <x v="9"/>
    <s v="Less than 5 kgs"/>
    <s v="N.A."/>
    <d v="2024-10-06T00:00:00"/>
    <s v="N.A."/>
  </r>
  <r>
    <d v="2024-10-04T00:00:00"/>
    <x v="0"/>
    <s v="U32167729"/>
    <s v="Standard"/>
    <s v="Delivered"/>
    <n v="170"/>
    <s v="Kanpur"/>
    <x v="9"/>
    <s v="Less than 5 kgs"/>
    <s v="N.A."/>
    <d v="2024-10-06T00:00:00"/>
    <s v="N.A."/>
  </r>
  <r>
    <d v="2024-10-04T00:00:00"/>
    <x v="0"/>
    <s v="U32167730"/>
    <s v="Standard"/>
    <s v="Delivered"/>
    <n v="90"/>
    <s v="Kanpur"/>
    <x v="3"/>
    <s v="Less than 5 kgs"/>
    <s v="N.A."/>
    <d v="2024-10-07T00:00:00"/>
    <s v="N.A."/>
  </r>
  <r>
    <d v="2024-10-04T00:00:00"/>
    <x v="0"/>
    <s v="U32167731"/>
    <s v="Standard"/>
    <s v="Delivered"/>
    <n v="140"/>
    <s v="Kanpur"/>
    <x v="0"/>
    <s v="Less than 5 kgs"/>
    <s v="N.A."/>
    <d v="2024-10-07T00:00:00"/>
    <s v="N.A."/>
  </r>
  <r>
    <d v="2024-10-04T00:00:00"/>
    <x v="0"/>
    <s v="U32167732"/>
    <s v="Standard"/>
    <s v="Delivered"/>
    <n v="170"/>
    <s v="Kanpur"/>
    <x v="1"/>
    <s v="Less than 5 kgs"/>
    <s v="N.A."/>
    <d v="2024-10-07T00:00:00"/>
    <s v="N.A."/>
  </r>
  <r>
    <d v="2024-10-04T00:00:00"/>
    <x v="0"/>
    <s v="U32167733"/>
    <s v="Standard"/>
    <s v="Delivered"/>
    <n v="70"/>
    <s v="Kanpur"/>
    <x v="4"/>
    <s v="Less than 5 kgs"/>
    <s v="N.A."/>
    <d v="2024-10-07T00:00:00"/>
    <s v="N.A."/>
  </r>
  <r>
    <d v="2024-10-04T00:00:00"/>
    <x v="0"/>
    <s v="U32167734"/>
    <s v="Standard"/>
    <s v="Delivered"/>
    <n v="70"/>
    <s v="Kanpur"/>
    <x v="4"/>
    <s v="Less than 5 kgs"/>
    <s v="N.A."/>
    <d v="2024-10-07T00:00:00"/>
    <s v="N.A."/>
  </r>
  <r>
    <d v="2024-10-04T00:00:00"/>
    <x v="0"/>
    <s v="U32167735"/>
    <s v="Standard"/>
    <s v="Delivered"/>
    <n v="70"/>
    <s v="Kanpur"/>
    <x v="4"/>
    <s v="Less than 5 kgs"/>
    <s v="N.A."/>
    <d v="2024-10-07T00:00:00"/>
    <s v="N.A."/>
  </r>
  <r>
    <d v="2024-10-04T00:00:00"/>
    <x v="0"/>
    <s v="U32167736"/>
    <s v="Standard"/>
    <s v="Delivered"/>
    <n v="70"/>
    <s v="Kanpur"/>
    <x v="4"/>
    <s v="Less than 5 kgs"/>
    <s v="N.A."/>
    <d v="2024-10-07T00:00:00"/>
    <s v="N.A."/>
  </r>
  <r>
    <d v="2024-10-04T00:00:00"/>
    <x v="0"/>
    <s v="U32167737"/>
    <s v="Standard"/>
    <s v="Delivered"/>
    <n v="70"/>
    <s v="Kanpur"/>
    <x v="4"/>
    <s v="Less than 5 kgs"/>
    <s v="N.A."/>
    <d v="2024-10-07T00:00:00"/>
    <s v="N.A."/>
  </r>
  <r>
    <d v="2024-10-04T00:00:00"/>
    <x v="0"/>
    <s v="U32167738"/>
    <s v="Standard"/>
    <s v="Delivered"/>
    <n v="140"/>
    <s v="Kanpur"/>
    <x v="10"/>
    <s v="Less than 5 kgs"/>
    <s v="N.A."/>
    <d v="2024-10-08T00:00:00"/>
    <s v="N.A."/>
  </r>
  <r>
    <d v="2024-10-04T00:00:00"/>
    <x v="0"/>
    <s v="U32167739"/>
    <s v="Standard"/>
    <s v="Delivered"/>
    <n v="110"/>
    <s v="Kanpur"/>
    <x v="11"/>
    <s v="Less than 5 kgs"/>
    <s v="N.A."/>
    <d v="2024-10-07T00:00:00"/>
    <s v="N.A."/>
  </r>
  <r>
    <d v="2024-10-04T00:00:00"/>
    <x v="0"/>
    <s v="U32167740"/>
    <s v="Standard"/>
    <s v="Delivered"/>
    <n v="90"/>
    <s v="Kanpur"/>
    <x v="12"/>
    <s v="Less than 5 kgs"/>
    <s v="N.A."/>
    <d v="2024-10-05T00:00:00"/>
    <s v="N.A."/>
  </r>
  <r>
    <d v="2024-10-04T00:00:00"/>
    <x v="0"/>
    <s v="U32167741"/>
    <s v="Standard"/>
    <s v="Delivered"/>
    <n v="250"/>
    <s v="Kanpur"/>
    <x v="13"/>
    <s v="Less than 5 kgs"/>
    <s v="N.A."/>
    <d v="2024-10-16T00:00:00"/>
    <s v="N.A."/>
  </r>
  <r>
    <d v="2024-10-04T00:00:00"/>
    <x v="0"/>
    <s v="U32167742"/>
    <s v="Standard"/>
    <s v="Delivered"/>
    <n v="320"/>
    <s v="Kanpur"/>
    <x v="7"/>
    <s v="Less than 5 kgs"/>
    <s v="Hair Kit"/>
    <d v="2024-10-07T00:00:00"/>
    <s v="N.A."/>
  </r>
  <r>
    <d v="2024-10-04T00:00:00"/>
    <x v="0"/>
    <s v="V85748811"/>
    <s v="Express"/>
    <s v="Delivered"/>
    <n v="500"/>
    <s v="Kanpur"/>
    <x v="1"/>
    <s v="Less than 5 kgs"/>
    <s v="Passport"/>
    <d v="2024-10-04T00:00:00"/>
    <s v="N.A."/>
  </r>
  <r>
    <d v="2024-10-04T00:00:00"/>
    <x v="0"/>
    <s v="V85748814"/>
    <s v="Express"/>
    <s v="Delivered"/>
    <n v="310"/>
    <s v="Kanpur"/>
    <x v="1"/>
    <s v="Less than 5 kgs"/>
    <s v="N.A."/>
    <d v="2024-10-05T00:00:00"/>
    <s v="N.A."/>
  </r>
  <r>
    <d v="2024-10-04T00:00:00"/>
    <x v="0"/>
    <s v="V85748815"/>
    <s v="Express"/>
    <s v="Delivered"/>
    <n v="270"/>
    <s v="Kanpur"/>
    <x v="3"/>
    <s v="Less than 5 kgs"/>
    <s v="Original Degree"/>
    <d v="2024-10-05T00:00:00"/>
    <s v="N.A."/>
  </r>
  <r>
    <d v="2024-10-05T00:00:00"/>
    <x v="0"/>
    <s v="D93994452"/>
    <s v="Standard"/>
    <s v="Delivered"/>
    <n v="640"/>
    <s v="Kanpur"/>
    <x v="2"/>
    <s v="More than 5 kgs"/>
    <s v="Eatables"/>
    <d v="2024-10-07T00:00:00"/>
    <s v="N.A."/>
  </r>
  <r>
    <d v="2024-10-05T00:00:00"/>
    <x v="0"/>
    <s v="D93994453"/>
    <s v="Standard"/>
    <s v="Delivered"/>
    <n v="1000"/>
    <s v="Kanpur"/>
    <x v="2"/>
    <s v="More than 5 kgs"/>
    <s v="Curtains"/>
    <d v="2024-10-07T00:00:00"/>
    <s v="N.A."/>
  </r>
  <r>
    <d v="2024-10-05T00:00:00"/>
    <x v="0"/>
    <s v="D93994454"/>
    <s v="Standard"/>
    <s v="Delivered"/>
    <n v="1540"/>
    <s v="Kanpur"/>
    <x v="14"/>
    <s v="More than 5 kgs"/>
    <s v="Clothes"/>
    <d v="2024-10-08T00:00:00"/>
    <s v="N.A."/>
  </r>
  <r>
    <d v="2024-10-05T00:00:00"/>
    <x v="0"/>
    <s v="U32167743"/>
    <s v="Standard"/>
    <s v="Delivered"/>
    <n v="110"/>
    <s v="Kanpur"/>
    <x v="15"/>
    <s v="Less than 5 kgs"/>
    <s v="N.A."/>
    <d v="2024-10-08T00:00:00"/>
    <s v="N.A."/>
  </r>
  <r>
    <d v="2024-10-05T00:00:00"/>
    <x v="0"/>
    <s v="U32167744"/>
    <s v="Standard"/>
    <s v="Delivered"/>
    <n v="210"/>
    <s v="Kanpur"/>
    <x v="16"/>
    <s v="Less than 5 kgs"/>
    <s v="N.A."/>
    <d v="2024-10-08T00:00:00"/>
    <s v="N.A."/>
  </r>
  <r>
    <d v="2024-10-05T00:00:00"/>
    <x v="0"/>
    <s v="U32167745"/>
    <s v="Standard"/>
    <s v="Delivered"/>
    <n v="150"/>
    <s v="Kanpur"/>
    <x v="17"/>
    <s v="Less than 5 kgs"/>
    <s v="Clothes"/>
    <d v="2024-10-08T00:00:00"/>
    <s v="N.A."/>
  </r>
  <r>
    <d v="2024-10-05T00:00:00"/>
    <x v="0"/>
    <s v="U32167746"/>
    <s v="Standard"/>
    <s v="Delivered"/>
    <n v="350"/>
    <s v="Kanpur"/>
    <x v="18"/>
    <s v="Less than 5 kgs"/>
    <s v="Clothes"/>
    <d v="2024-10-08T00:00:00"/>
    <s v="N.A."/>
  </r>
  <r>
    <d v="2024-10-05T00:00:00"/>
    <x v="0"/>
    <s v="U32167747"/>
    <s v="Standard"/>
    <s v="Delivered"/>
    <n v="120"/>
    <s v="Kanpur"/>
    <x v="4"/>
    <s v="Less than 5 kgs"/>
    <s v="Earphones"/>
    <d v="2024-10-07T00:00:00"/>
    <s v="N.A."/>
  </r>
  <r>
    <d v="2024-10-05T00:00:00"/>
    <x v="0"/>
    <s v="U32167748"/>
    <s v="Standard"/>
    <s v="Delivered"/>
    <n v="90"/>
    <s v="Kanpur"/>
    <x v="4"/>
    <s v="Less than 5 kgs"/>
    <s v="N.A."/>
    <d v="2024-10-07T00:00:00"/>
    <s v="N.A."/>
  </r>
  <r>
    <d v="2024-10-05T00:00:00"/>
    <x v="0"/>
    <s v="U32167749"/>
    <s v="Standard"/>
    <s v="Delivered"/>
    <n v="110"/>
    <s v="Kanpur"/>
    <x v="1"/>
    <s v="Less than 5 kgs"/>
    <s v="N.A."/>
    <d v="2024-10-07T00:00:00"/>
    <s v="N.A."/>
  </r>
  <r>
    <d v="2024-10-05T00:00:00"/>
    <x v="0"/>
    <s v="U32167750"/>
    <s v="Standard"/>
    <s v="Delivered"/>
    <n v="150"/>
    <s v="Kanpur"/>
    <x v="4"/>
    <s v="Less than 5 kgs"/>
    <s v="N.A."/>
    <d v="2024-10-07T00:00:00"/>
    <s v="N.A."/>
  </r>
  <r>
    <d v="2024-10-05T00:00:00"/>
    <x v="0"/>
    <s v="U32167751"/>
    <s v="Standard"/>
    <s v="Delivered"/>
    <n v="210"/>
    <s v="Kanpur"/>
    <x v="19"/>
    <s v="Less than 5 kgs"/>
    <s v="Jadi Booti"/>
    <d v="2024-10-16T00:00:00"/>
    <s v="N.A."/>
  </r>
  <r>
    <d v="2024-10-05T00:00:00"/>
    <x v="0"/>
    <s v="U32167752"/>
    <s v="Standard"/>
    <s v="Delivered"/>
    <n v="170"/>
    <s v="Kanpur"/>
    <x v="9"/>
    <s v="Less than 5 kgs"/>
    <s v="N.A."/>
    <d v="2024-10-10T00:00:00"/>
    <s v="N.A."/>
  </r>
  <r>
    <d v="2024-10-05T00:00:00"/>
    <x v="0"/>
    <s v="U32167753"/>
    <s v="Standard"/>
    <s v="Delivered"/>
    <n v="170"/>
    <s v="Kanpur"/>
    <x v="9"/>
    <s v="Less than 5 kgs"/>
    <s v="N.A."/>
    <d v="2024-10-10T00:00:00"/>
    <s v="N.A."/>
  </r>
  <r>
    <d v="2024-10-05T00:00:00"/>
    <x v="0"/>
    <s v="U32167754"/>
    <s v="Standard"/>
    <s v="Delivered"/>
    <n v="170"/>
    <s v="Kanpur"/>
    <x v="9"/>
    <s v="Less than 5 kgs"/>
    <s v="N.A."/>
    <d v="2024-10-10T00:00:00"/>
    <s v="N.A."/>
  </r>
  <r>
    <d v="2024-10-05T00:00:00"/>
    <x v="0"/>
    <s v="U32167755"/>
    <s v="Standard"/>
    <s v="Delivered"/>
    <n v="140"/>
    <s v="Kanpur"/>
    <x v="9"/>
    <s v="Less than 5 kgs"/>
    <s v="N.A."/>
    <d v="2024-10-10T00:00:00"/>
    <s v="N.A."/>
  </r>
  <r>
    <d v="2024-10-05T00:00:00"/>
    <x v="0"/>
    <s v="U32167756"/>
    <s v="Standard"/>
    <s v="Delivered"/>
    <n v="140"/>
    <s v="Kanpur"/>
    <x v="9"/>
    <s v="Less than 5 kgs"/>
    <s v="N.A."/>
    <d v="2024-10-10T00:00:00"/>
    <s v="N.A."/>
  </r>
  <r>
    <d v="2024-10-05T00:00:00"/>
    <x v="0"/>
    <s v="U32167757"/>
    <s v="Standard"/>
    <s v="Delivered"/>
    <n v="140"/>
    <s v="Kanpur"/>
    <x v="9"/>
    <s v="Less than 5 kgs"/>
    <s v="N.A."/>
    <d v="2024-10-10T00:00:00"/>
    <s v="N.A."/>
  </r>
  <r>
    <d v="2024-10-05T00:00:00"/>
    <x v="0"/>
    <s v="U32167758"/>
    <s v="Standard"/>
    <s v="Delivered"/>
    <n v="140"/>
    <s v="Kanpur"/>
    <x v="9"/>
    <s v="Less than 5 kgs"/>
    <s v="N.A."/>
    <d v="2024-10-10T00:00:00"/>
    <s v="N.A."/>
  </r>
  <r>
    <d v="2024-10-05T00:00:00"/>
    <x v="0"/>
    <s v="U32167759"/>
    <s v="Standard"/>
    <s v="Delivered"/>
    <n v="120"/>
    <s v="Kanpur"/>
    <x v="3"/>
    <s v="Less than 5 kgs"/>
    <s v="N.A."/>
    <d v="2024-10-07T00:00:00"/>
    <s v="N.A."/>
  </r>
  <r>
    <d v="2024-10-05T00:00:00"/>
    <x v="0"/>
    <s v="U32167760"/>
    <s v="Standard"/>
    <s v="Delivered"/>
    <n v="120"/>
    <s v="Kanpur"/>
    <x v="3"/>
    <s v="Less than 5 kgs"/>
    <s v="N.A."/>
    <d v="2024-10-07T00:00:00"/>
    <s v="N.A."/>
  </r>
  <r>
    <d v="2024-10-05T00:00:00"/>
    <x v="0"/>
    <s v="U32167761"/>
    <s v="Standard"/>
    <s v="Delivered"/>
    <n v="140"/>
    <s v="Kanpur"/>
    <x v="7"/>
    <s v="Less than 5 kgs"/>
    <s v="N.A."/>
    <d v="2024-10-10T00:00:00"/>
    <s v="N.A."/>
  </r>
  <r>
    <d v="2024-10-05T00:00:00"/>
    <x v="0"/>
    <s v="U32167762"/>
    <s v="Standard"/>
    <s v="Delivered"/>
    <n v="70"/>
    <s v="Kanpur"/>
    <x v="4"/>
    <s v="Less than 5 kgs"/>
    <s v="N.A."/>
    <d v="2024-10-10T00:00:00"/>
    <s v="N.A."/>
  </r>
  <r>
    <d v="2024-10-05T00:00:00"/>
    <x v="0"/>
    <s v="U32167763"/>
    <s v="Standard"/>
    <s v="Delivered"/>
    <n v="70"/>
    <s v="Kanpur"/>
    <x v="4"/>
    <s v="Less than 5 kgs"/>
    <s v="N.A."/>
    <d v="2024-10-10T00:00:00"/>
    <s v="N.A."/>
  </r>
  <r>
    <d v="2024-10-05T00:00:00"/>
    <x v="0"/>
    <s v="U32167764"/>
    <s v="Standard"/>
    <s v="Delivered"/>
    <n v="70"/>
    <s v="Kanpur"/>
    <x v="4"/>
    <s v="Less than 5 kgs"/>
    <s v="N.A."/>
    <d v="2024-10-10T00:00:00"/>
    <s v="N.A."/>
  </r>
  <r>
    <d v="2024-10-05T00:00:00"/>
    <x v="0"/>
    <s v="U32167765"/>
    <s v="Standard"/>
    <s v="Delivered"/>
    <n v="70"/>
    <s v="Kanpur"/>
    <x v="4"/>
    <s v="Less than 5 kgs"/>
    <s v="N.A."/>
    <d v="2024-10-10T00:00:00"/>
    <s v="N.A."/>
  </r>
  <r>
    <d v="2024-10-05T00:00:00"/>
    <x v="0"/>
    <s v="U32167766"/>
    <s v="Standard"/>
    <s v="Delivered"/>
    <n v="90"/>
    <s v="Kanpur"/>
    <x v="4"/>
    <s v="Less than 5 kgs"/>
    <s v="N.A."/>
    <d v="2024-10-10T00:00:00"/>
    <s v="N.A."/>
  </r>
  <r>
    <d v="2024-10-05T00:00:00"/>
    <x v="0"/>
    <s v="U32167767"/>
    <s v="Standard"/>
    <s v="Delivered"/>
    <n v="90"/>
    <s v="Kanpur"/>
    <x v="4"/>
    <s v="Less than 5 kgs"/>
    <s v="N.A."/>
    <d v="2024-10-10T00:00:00"/>
    <s v="N.A."/>
  </r>
  <r>
    <d v="2024-10-05T00:00:00"/>
    <x v="0"/>
    <s v="U32167768"/>
    <s v="Standard"/>
    <s v="Delivered"/>
    <n v="90"/>
    <s v="Kanpur"/>
    <x v="4"/>
    <s v="Less than 5 kgs"/>
    <s v="N.A."/>
    <d v="2024-10-10T00:00:00"/>
    <s v="N.A."/>
  </r>
  <r>
    <d v="2024-10-05T00:00:00"/>
    <x v="0"/>
    <s v="U32167769"/>
    <s v="Standard"/>
    <s v="Delivered"/>
    <n v="140"/>
    <s v="Kanpur"/>
    <x v="4"/>
    <s v="Less than 5 kgs"/>
    <s v="N.A."/>
    <d v="2024-10-10T00:00:00"/>
    <s v="N.A."/>
  </r>
  <r>
    <d v="2024-10-05T00:00:00"/>
    <x v="0"/>
    <s v="U32167770"/>
    <s v="Standard"/>
    <s v="Delivered"/>
    <n v="70"/>
    <s v="Kanpur"/>
    <x v="4"/>
    <s v="Less than 5 kgs"/>
    <s v="N.A."/>
    <d v="2024-10-10T00:00:00"/>
    <s v="N.A."/>
  </r>
  <r>
    <d v="2024-10-05T00:00:00"/>
    <x v="0"/>
    <s v="U32167771"/>
    <s v="Standard"/>
    <s v="Delivered"/>
    <n v="70"/>
    <s v="Kanpur"/>
    <x v="4"/>
    <s v="Less than 5 kgs"/>
    <s v="N.A."/>
    <d v="2024-10-09T00:00:00"/>
    <s v="N.A."/>
  </r>
  <r>
    <d v="2024-10-05T00:00:00"/>
    <x v="0"/>
    <s v="U32167772"/>
    <s v="Standard"/>
    <s v="Delivered"/>
    <n v="90"/>
    <s v="Kanpur"/>
    <x v="4"/>
    <s v="Less than 5 kgs"/>
    <s v="N.A."/>
    <d v="2024-10-09T00:00:00"/>
    <s v="N.A."/>
  </r>
  <r>
    <d v="2024-10-05T00:00:00"/>
    <x v="0"/>
    <s v="U32167773"/>
    <s v="Standard"/>
    <s v="Delivered"/>
    <n v="120"/>
    <s v="Kanpur"/>
    <x v="4"/>
    <s v="Less than 5 kgs"/>
    <s v="N.A."/>
    <d v="2024-10-09T00:00:00"/>
    <s v="N.A."/>
  </r>
  <r>
    <d v="2024-10-05T00:00:00"/>
    <x v="0"/>
    <s v="V85748816"/>
    <s v="Express"/>
    <s v="Delivered"/>
    <n v="970"/>
    <s v="Kanpur"/>
    <x v="20"/>
    <s v="Less than 5 kgs"/>
    <s v="Documents"/>
    <d v="2024-10-09T00:00:00"/>
    <s v="N.A."/>
  </r>
  <r>
    <d v="2024-10-06T00:00:00"/>
    <x v="0"/>
    <s v="U32167774"/>
    <s v="Standard"/>
    <s v="Delivered"/>
    <n v="170"/>
    <s v="Kanpur"/>
    <x v="7"/>
    <s v="Less than 5 kgs"/>
    <s v="N.A."/>
    <d v="2024-10-10T00:00:00"/>
    <s v="N.A."/>
  </r>
  <r>
    <d v="2024-10-06T00:00:00"/>
    <x v="0"/>
    <s v="U32167775"/>
    <s v="Standard"/>
    <s v="Delivered"/>
    <n v="90"/>
    <s v="Kanpur"/>
    <x v="1"/>
    <s v="Less than 5 kgs"/>
    <s v="N.A."/>
    <d v="2024-10-08T00:00:00"/>
    <s v="N.A."/>
  </r>
  <r>
    <d v="2024-10-07T00:00:00"/>
    <x v="0"/>
    <s v="D93994455"/>
    <s v="Standard"/>
    <s v="Delivered"/>
    <n v="840"/>
    <s v="Kanpur"/>
    <x v="21"/>
    <s v="More than 5 kgs"/>
    <s v="Pooja Accessories"/>
    <d v="2024-10-10T00:00:00"/>
    <s v="N.A."/>
  </r>
  <r>
    <d v="2024-10-07T00:00:00"/>
    <x v="0"/>
    <s v="U32167776"/>
    <s v="Standard"/>
    <s v="Delivered"/>
    <n v="90"/>
    <s v="Kanpur"/>
    <x v="22"/>
    <s v="Less than 5 kgs"/>
    <s v="Cake Topper"/>
    <d v="2024-10-08T00:00:00"/>
    <s v="N.A."/>
  </r>
  <r>
    <d v="2024-10-07T00:00:00"/>
    <x v="0"/>
    <s v="U32167777"/>
    <s v="Standard"/>
    <s v="Delivered"/>
    <n v="350"/>
    <s v="Kanpur"/>
    <x v="1"/>
    <s v="Less than 5 kgs"/>
    <s v="N.A."/>
    <d v="2024-10-09T00:00:00"/>
    <s v="N.A."/>
  </r>
  <r>
    <d v="2024-10-07T00:00:00"/>
    <x v="0"/>
    <s v="U32167778"/>
    <s v="Standard"/>
    <s v="Delivered"/>
    <n v="90"/>
    <s v="Kanpur"/>
    <x v="4"/>
    <s v="Less than 5 kgs"/>
    <s v="Swab"/>
    <d v="2024-10-09T00:00:00"/>
    <s v="N.A."/>
  </r>
  <r>
    <d v="2024-10-07T00:00:00"/>
    <x v="0"/>
    <s v="U32167779"/>
    <s v="Standard"/>
    <s v="Delivered"/>
    <n v="320"/>
    <s v="Kanpur"/>
    <x v="7"/>
    <s v="Less than 5 kgs"/>
    <s v="N.A."/>
    <d v="2024-10-10T00:00:00"/>
    <s v="N.A."/>
  </r>
  <r>
    <d v="2024-10-07T00:00:00"/>
    <x v="0"/>
    <s v="U32167780"/>
    <s v="Standard"/>
    <s v="Delivered"/>
    <n v="150"/>
    <s v="Kanpur"/>
    <x v="7"/>
    <s v="Less than 5 kgs"/>
    <s v="N.A."/>
    <d v="2024-10-10T00:00:00"/>
    <s v="N.A."/>
  </r>
  <r>
    <d v="2024-10-07T00:00:00"/>
    <x v="0"/>
    <s v="U32167781"/>
    <s v="Standard"/>
    <s v="Delivered"/>
    <n v="90"/>
    <s v="Kanpur"/>
    <x v="4"/>
    <s v="Less than 5 kgs"/>
    <s v="N.A."/>
    <d v="2024-10-09T00:00:00"/>
    <s v="N.A."/>
  </r>
  <r>
    <d v="2024-10-07T00:00:00"/>
    <x v="0"/>
    <s v="U32167782"/>
    <s v="Standard"/>
    <s v="Delivered"/>
    <n v="140"/>
    <s v="Kanpur"/>
    <x v="16"/>
    <s v="Less than 5 kgs"/>
    <s v="N.A."/>
    <d v="2024-10-14T00:00:00"/>
    <s v="N.A."/>
  </r>
  <r>
    <d v="2024-10-07T00:00:00"/>
    <x v="0"/>
    <s v="U32167783"/>
    <s v="Standard"/>
    <s v="Delivered"/>
    <n v="90"/>
    <s v="Kanpur"/>
    <x v="3"/>
    <s v="Less than 5 kgs"/>
    <s v="N.A."/>
    <d v="2024-10-09T00:00:00"/>
    <s v="N.A."/>
  </r>
  <r>
    <d v="2024-10-07T00:00:00"/>
    <x v="0"/>
    <s v="U32167784"/>
    <s v="Standard"/>
    <s v="Delivered"/>
    <n v="90"/>
    <s v="Kanpur"/>
    <x v="1"/>
    <s v="Less than 5 kgs"/>
    <s v="N.A."/>
    <d v="2024-10-09T00:00:00"/>
    <s v="N.A."/>
  </r>
  <r>
    <d v="2024-10-07T00:00:00"/>
    <x v="0"/>
    <s v="U32167785"/>
    <s v="Standard"/>
    <s v="Delivered"/>
    <n v="90"/>
    <s v="Kanpur"/>
    <x v="1"/>
    <s v="Less than 5 kgs"/>
    <s v="N.A."/>
    <d v="2024-10-09T00:00:00"/>
    <s v="N.A."/>
  </r>
  <r>
    <d v="2024-10-07T00:00:00"/>
    <x v="0"/>
    <s v="U32167786"/>
    <s v="Standard"/>
    <s v="Delivered"/>
    <n v="140"/>
    <s v="Kanpur"/>
    <x v="10"/>
    <s v="Less than 5 kgs"/>
    <s v="N.A."/>
    <d v="2024-10-10T00:00:00"/>
    <s v="N.A."/>
  </r>
  <r>
    <d v="2024-10-07T00:00:00"/>
    <x v="0"/>
    <s v="U32167787"/>
    <s v="Standard"/>
    <s v="Delivered"/>
    <n v="90"/>
    <s v="Kanpur"/>
    <x v="23"/>
    <s v="Less than 5 kgs"/>
    <s v="N.A."/>
    <d v="2024-10-09T00:00:00"/>
    <s v="N.A."/>
  </r>
  <r>
    <d v="2024-10-07T00:00:00"/>
    <x v="0"/>
    <s v="U32167788"/>
    <s v="Standard"/>
    <s v="Delivered"/>
    <n v="100"/>
    <s v="Kanpur"/>
    <x v="4"/>
    <s v="Less than 5 kgs"/>
    <s v="N.A."/>
    <d v="2024-10-09T00:00:00"/>
    <s v="N.A."/>
  </r>
  <r>
    <d v="2024-10-07T00:00:00"/>
    <x v="0"/>
    <s v="U32167789"/>
    <s v="Standard"/>
    <s v="Delivered"/>
    <n v="120"/>
    <s v="Kanpur"/>
    <x v="23"/>
    <s v="Less than 5 kgs"/>
    <s v="N.A."/>
    <d v="2024-10-09T00:00:00"/>
    <s v="N.A."/>
  </r>
  <r>
    <d v="2024-10-07T00:00:00"/>
    <x v="0"/>
    <s v="U32167790"/>
    <s v="Standard"/>
    <s v="Delivered"/>
    <n v="90"/>
    <s v="Kanpur"/>
    <x v="23"/>
    <s v="Less than 5 kgs"/>
    <s v="N.A."/>
    <d v="2024-10-09T00:00:00"/>
    <s v="N.A."/>
  </r>
  <r>
    <d v="2024-10-07T00:00:00"/>
    <x v="0"/>
    <s v="U32167791"/>
    <s v="Standard"/>
    <s v="Delivered"/>
    <n v="140"/>
    <s v="Kanpur"/>
    <x v="16"/>
    <s v="Less than 5 kgs"/>
    <s v="N.A."/>
    <d v="2024-10-14T00:00:00"/>
    <s v="N.A."/>
  </r>
  <r>
    <d v="2024-10-07T00:00:00"/>
    <x v="0"/>
    <s v="U32167792"/>
    <s v="Standard"/>
    <s v="Delivered"/>
    <n v="90"/>
    <s v="Kanpur"/>
    <x v="3"/>
    <s v="Less than 5 kgs"/>
    <s v="N.A."/>
    <d v="2024-10-09T00:00:00"/>
    <s v="N.A."/>
  </r>
  <r>
    <d v="2024-10-07T00:00:00"/>
    <x v="0"/>
    <s v="U32167793"/>
    <s v="Standard"/>
    <s v="Delivered"/>
    <n v="90"/>
    <s v="Kanpur"/>
    <x v="3"/>
    <s v="Less than 5 kgs"/>
    <s v="N.A."/>
    <d v="2024-10-09T00:00:00"/>
    <s v="N.A."/>
  </r>
  <r>
    <d v="2024-10-07T00:00:00"/>
    <x v="0"/>
    <s v="V85748817"/>
    <s v="Express"/>
    <s v="Delivered"/>
    <n v="390"/>
    <s v="Kanpur"/>
    <x v="24"/>
    <s v="Less than 5 kgs"/>
    <s v="Original Degree"/>
    <d v="2024-10-11T00:00:00"/>
    <s v="N.A."/>
  </r>
  <r>
    <d v="2024-10-07T00:00:00"/>
    <x v="0"/>
    <s v="V85748818"/>
    <s v="Express"/>
    <s v="Delivered"/>
    <n v="855"/>
    <s v="Kanpur"/>
    <x v="1"/>
    <s v="Less than 5 kgs"/>
    <s v="Eatables"/>
    <d v="2024-10-08T00:00:00"/>
    <s v="N.A."/>
  </r>
  <r>
    <d v="2024-10-07T00:00:00"/>
    <x v="0"/>
    <s v="V85748819"/>
    <s v="Express"/>
    <s v="Delivered"/>
    <n v="1250"/>
    <s v="Kanpur"/>
    <x v="25"/>
    <s v="Less than 5 kgs"/>
    <s v="Clothes"/>
    <d v="2024-10-09T00:00:00"/>
    <s v="N.A."/>
  </r>
  <r>
    <d v="2024-10-07T00:00:00"/>
    <x v="0"/>
    <s v="V85940501"/>
    <s v="Express"/>
    <s v="Delivered"/>
    <n v="310"/>
    <s v="Kanpur"/>
    <x v="1"/>
    <s v="Less than 5 kgs"/>
    <s v="N.A."/>
    <d v="2024-10-08T00:00:00"/>
    <s v="N.A."/>
  </r>
  <r>
    <d v="2024-10-07T00:00:00"/>
    <x v="0"/>
    <s v="V85940502"/>
    <s v="Express"/>
    <s v="Delivered"/>
    <n v="350"/>
    <s v="Kanpur"/>
    <x v="26"/>
    <s v="Less than 5 kgs"/>
    <s v="Original Degree"/>
    <d v="2024-10-10T00:00:00"/>
    <s v="N.A."/>
  </r>
  <r>
    <d v="2024-10-08T00:00:00"/>
    <x v="0"/>
    <s v="U32167794"/>
    <s v="Standard"/>
    <s v="Delivered"/>
    <n v="110"/>
    <s v="Kanpur"/>
    <x v="2"/>
    <s v="Less than 5 kgs"/>
    <s v="Clothes"/>
    <d v="2024-10-10T00:00:00"/>
    <s v="N.A."/>
  </r>
  <r>
    <d v="2024-10-08T00:00:00"/>
    <x v="0"/>
    <s v="U32167795"/>
    <s v="Standard"/>
    <s v="Delivered"/>
    <n v="90"/>
    <s v="Kanpur"/>
    <x v="27"/>
    <s v="Less than 5 kgs"/>
    <s v="N.A."/>
    <d v="2024-10-09T00:00:00"/>
    <s v="N.A."/>
  </r>
  <r>
    <d v="2024-10-08T00:00:00"/>
    <x v="0"/>
    <s v="U32167796"/>
    <s v="Standard"/>
    <s v="Delivered"/>
    <n v="150"/>
    <s v="Kanpur"/>
    <x v="28"/>
    <s v="Less than 5 kgs"/>
    <s v="N.A."/>
    <d v="2024-10-09T00:00:00"/>
    <s v="N.A."/>
  </r>
  <r>
    <d v="2024-10-08T00:00:00"/>
    <x v="0"/>
    <s v="U32167797"/>
    <s v="Standard"/>
    <s v="Delivered"/>
    <n v="210"/>
    <s v="Kanpur"/>
    <x v="29"/>
    <s v="Less than 5 kgs"/>
    <s v="Wallet"/>
    <d v="2024-10-11T00:00:00"/>
    <s v="N.A."/>
  </r>
  <r>
    <d v="2024-10-08T00:00:00"/>
    <x v="0"/>
    <s v="U32167798"/>
    <s v="Standard"/>
    <s v="Delivered"/>
    <n v="150"/>
    <s v="Kanpur"/>
    <x v="0"/>
    <s v="Less than 5 kgs"/>
    <s v="N.A."/>
    <d v="2024-10-10T00:00:00"/>
    <s v="N.A."/>
  </r>
  <r>
    <d v="2024-10-08T00:00:00"/>
    <x v="0"/>
    <s v="U32167799"/>
    <s v="Standard"/>
    <s v="Delivered"/>
    <n v="120"/>
    <s v="Kanpur"/>
    <x v="30"/>
    <s v="Less than 5 kgs"/>
    <s v="N.A."/>
    <d v="2024-10-10T00:00:00"/>
    <s v="N.A."/>
  </r>
  <r>
    <d v="2024-10-08T00:00:00"/>
    <x v="0"/>
    <s v="U32593900"/>
    <s v="Standard"/>
    <s v="Delivered"/>
    <n v="480"/>
    <s v="Kanpur"/>
    <x v="31"/>
    <s v="Less than 5 kgs"/>
    <s v="N.A."/>
    <d v="2024-10-14T00:00:00"/>
    <s v="N.A."/>
  </r>
  <r>
    <d v="2024-10-08T00:00:00"/>
    <x v="0"/>
    <s v="U32593901"/>
    <s v="Standard"/>
    <s v="Delivered"/>
    <n v="90"/>
    <s v="Kanpur"/>
    <x v="4"/>
    <s v="Less than 5 kgs"/>
    <s v="N.A."/>
    <d v="2024-10-11T00:00:00"/>
    <s v="N.A."/>
  </r>
  <r>
    <d v="2024-10-09T00:00:00"/>
    <x v="0"/>
    <s v="U32593902"/>
    <s v="Standard"/>
    <s v="Delivered"/>
    <n v="140"/>
    <s v="Kanpur"/>
    <x v="1"/>
    <s v="Less than 5 kgs"/>
    <s v="N.A."/>
    <d v="2024-10-11T00:00:00"/>
    <s v="N.A."/>
  </r>
  <r>
    <d v="2024-10-09T00:00:00"/>
    <x v="0"/>
    <s v="U32593903"/>
    <s v="Standard"/>
    <s v="Delivered"/>
    <n v="150"/>
    <s v="Kanpur"/>
    <x v="12"/>
    <s v="Less than 5 kgs"/>
    <s v="N.A."/>
    <d v="2024-10-10T00:00:00"/>
    <s v="N.A."/>
  </r>
  <r>
    <d v="2024-10-09T00:00:00"/>
    <x v="0"/>
    <s v="U32593904"/>
    <s v="Standard"/>
    <s v="Delivered"/>
    <n v="140"/>
    <s v="Kanpur"/>
    <x v="0"/>
    <s v="Less than 5 kgs"/>
    <s v="N.A."/>
    <d v="2024-10-11T00:00:00"/>
    <s v="N.A."/>
  </r>
  <r>
    <d v="2024-10-09T00:00:00"/>
    <x v="0"/>
    <s v="U32593905"/>
    <s v="Standard"/>
    <s v="Delivered"/>
    <n v="140"/>
    <s v="Kanpur"/>
    <x v="0"/>
    <s v="Less than 5 kgs"/>
    <s v="N.A."/>
    <d v="2024-10-11T00:00:00"/>
    <s v="N.A."/>
  </r>
  <r>
    <d v="2024-10-09T00:00:00"/>
    <x v="0"/>
    <s v="U32593906"/>
    <s v="Standard"/>
    <s v="Delivered"/>
    <n v="170"/>
    <s v="Kanpur"/>
    <x v="9"/>
    <s v="Less than 5 kgs"/>
    <s v="N.A."/>
    <d v="2024-10-14T00:00:00"/>
    <s v="N.A."/>
  </r>
  <r>
    <d v="2024-10-09T00:00:00"/>
    <x v="0"/>
    <s v="U32593907"/>
    <s v="Standard"/>
    <s v="Delivered"/>
    <n v="300"/>
    <s v="Kanpur"/>
    <x v="3"/>
    <s v="Less than 5 kgs"/>
    <s v="N.A."/>
    <d v="2024-10-11T00:00:00"/>
    <s v="N.A."/>
  </r>
  <r>
    <d v="2024-10-09T00:00:00"/>
    <x v="0"/>
    <s v="U32593908"/>
    <s v="Standard"/>
    <s v="Delivered"/>
    <n v="210"/>
    <s v="Kanpur"/>
    <x v="15"/>
    <s v="Less than 5 kgs"/>
    <s v="N.A."/>
    <d v="2024-10-11T00:00:00"/>
    <s v="N.A."/>
  </r>
  <r>
    <d v="2024-10-09T00:00:00"/>
    <x v="0"/>
    <s v="U32593909"/>
    <s v="Standard"/>
    <s v="Delivered"/>
    <n v="110"/>
    <s v="Kanpur"/>
    <x v="32"/>
    <s v="Less than 5 kgs"/>
    <s v="N.A."/>
    <d v="2024-10-13T00:00:00"/>
    <s v="N.A."/>
  </r>
  <r>
    <d v="2024-10-09T00:00:00"/>
    <x v="0"/>
    <s v="U32593910"/>
    <s v="Standard"/>
    <s v="Delivered"/>
    <n v="110"/>
    <s v="Kanpur"/>
    <x v="33"/>
    <s v="Less than 5 kgs"/>
    <s v="N.A."/>
    <d v="2024-10-10T00:00:00"/>
    <s v="N.A."/>
  </r>
  <r>
    <d v="2024-10-09T00:00:00"/>
    <x v="0"/>
    <s v="U32593911"/>
    <s v="Standard"/>
    <s v="Delivered"/>
    <n v="140"/>
    <s v="Kanpur"/>
    <x v="33"/>
    <s v="Less than 5 kgs"/>
    <s v="N.A."/>
    <d v="2024-10-10T00:00:00"/>
    <s v="N.A."/>
  </r>
  <r>
    <d v="2024-10-09T00:00:00"/>
    <x v="0"/>
    <s v="U32593912"/>
    <s v="Standard"/>
    <s v="Delivered"/>
    <n v="150"/>
    <s v="Kanpur"/>
    <x v="33"/>
    <s v="Less than 5 kgs"/>
    <s v="N.A."/>
    <d v="2024-10-10T00:00:00"/>
    <s v="N.A."/>
  </r>
  <r>
    <d v="2024-10-09T00:00:00"/>
    <x v="0"/>
    <s v="U32593913"/>
    <s v="Standard"/>
    <s v="Delivered"/>
    <n v="110"/>
    <s v="Kanpur"/>
    <x v="1"/>
    <s v="Less than 5 kgs"/>
    <s v="N.A."/>
    <d v="2024-10-11T00:00:00"/>
    <s v="N.A."/>
  </r>
  <r>
    <d v="2024-10-09T00:00:00"/>
    <x v="0"/>
    <s v="U32593914"/>
    <s v="Standard"/>
    <s v="Delivered"/>
    <n v="150"/>
    <s v="Kanpur"/>
    <x v="34"/>
    <s v="Less than 5 kgs"/>
    <s v="N.A."/>
    <d v="2024-10-15T00:00:00"/>
    <s v="N.A."/>
  </r>
  <r>
    <d v="2024-10-09T00:00:00"/>
    <x v="0"/>
    <s v="V85940503"/>
    <s v="Express"/>
    <s v="Delivered"/>
    <n v="390"/>
    <s v="Kanpur"/>
    <x v="35"/>
    <s v="Less than 5 kgs"/>
    <s v="Contact Lenses"/>
    <d v="2024-10-14T00:00:00"/>
    <s v="N.A."/>
  </r>
  <r>
    <d v="2024-10-10T00:00:00"/>
    <x v="0"/>
    <s v="U32593915"/>
    <s v="Standard"/>
    <s v="Delivered"/>
    <n v="370"/>
    <s v="Kanpur"/>
    <x v="29"/>
    <s v="Less than 5 kgs"/>
    <s v="Clothes"/>
    <d v="2024-10-14T00:00:00"/>
    <s v="N.A."/>
  </r>
  <r>
    <d v="2024-10-10T00:00:00"/>
    <x v="0"/>
    <s v="U32593916"/>
    <s v="Standard"/>
    <s v="Delivered"/>
    <n v="480"/>
    <s v="Kanpur"/>
    <x v="10"/>
    <s v="Less than 5 kgs"/>
    <s v="N.A."/>
    <d v="2024-10-13T00:00:00"/>
    <s v="N.A."/>
  </r>
  <r>
    <d v="2024-10-10T00:00:00"/>
    <x v="0"/>
    <s v="U32593917"/>
    <s v="Standard"/>
    <s v="Delivered"/>
    <n v="90"/>
    <s v="Kanpur"/>
    <x v="4"/>
    <s v="Less than 5 kgs"/>
    <s v="N.A."/>
    <d v="2024-10-14T00:00:00"/>
    <s v="N.A."/>
  </r>
  <r>
    <d v="2024-10-10T00:00:00"/>
    <x v="0"/>
    <s v="U32593918"/>
    <s v="Standard"/>
    <s v="Delivered"/>
    <n v="540"/>
    <s v="Kanpur"/>
    <x v="36"/>
    <s v="Less than 5 kgs"/>
    <s v="N.A."/>
    <d v="2024-10-14T00:00:00"/>
    <s v="N.A."/>
  </r>
  <r>
    <d v="2024-10-10T00:00:00"/>
    <x v="0"/>
    <s v="U32593919"/>
    <s v="Standard"/>
    <s v="Delivered"/>
    <n v="240"/>
    <s v="Kanpur"/>
    <x v="37"/>
    <s v="Less than 5 kgs"/>
    <s v="N.A."/>
    <d v="2024-10-15T00:00:00"/>
    <s v="N.A."/>
  </r>
  <r>
    <d v="2024-10-11T00:00:00"/>
    <x v="0"/>
    <s v="D93994456"/>
    <s v="Standard"/>
    <s v="Delivered"/>
    <n v="670"/>
    <s v="Kanpur"/>
    <x v="9"/>
    <s v="More than 5 kgs"/>
    <s v="N.A."/>
    <d v="2024-10-17T00:00:00"/>
    <s v="N.A."/>
  </r>
  <r>
    <d v="2024-10-11T00:00:00"/>
    <x v="0"/>
    <s v="V85940504"/>
    <s v="Express"/>
    <s v="Delivered"/>
    <n v="250"/>
    <s v="Kanpur"/>
    <x v="12"/>
    <s v="Less than 5 kgs"/>
    <s v="N.A."/>
    <d v="2024-10-14T00:00:00"/>
    <s v="N.A."/>
  </r>
  <r>
    <d v="2024-10-12T00:00:00"/>
    <x v="0"/>
    <s v="D93994457"/>
    <s v="Standard"/>
    <s v="Delivered"/>
    <n v="610"/>
    <s v="Kanpur"/>
    <x v="1"/>
    <s v="More than 5 kgs"/>
    <s v="N.A."/>
    <d v="2024-10-14T00:00:00"/>
    <s v="N.A."/>
  </r>
  <r>
    <d v="2024-10-12T00:00:00"/>
    <x v="0"/>
    <s v="D93994458"/>
    <s v="Standard"/>
    <s v="Delivered"/>
    <n v="710"/>
    <s v="Kanpur"/>
    <x v="38"/>
    <s v="More than 5 kgs"/>
    <s v="N.A."/>
    <d v="2024-10-18T00:00:00"/>
    <s v="N.A."/>
  </r>
  <r>
    <d v="2024-10-12T00:00:00"/>
    <x v="0"/>
    <s v="U32593938"/>
    <s v="Standard"/>
    <s v="Delivered"/>
    <n v="140"/>
    <s v="Kanpur"/>
    <x v="39"/>
    <s v="Less than 5 kgs"/>
    <s v="N.A."/>
    <d v="2024-10-14T00:00:00"/>
    <s v="N.A."/>
  </r>
  <r>
    <d v="2024-10-12T00:00:00"/>
    <x v="0"/>
    <s v="U32593939"/>
    <s v="Standard"/>
    <s v="Delivered"/>
    <n v="130"/>
    <s v="Kanpur"/>
    <x v="2"/>
    <s v="Less than 5 kgs"/>
    <s v="N.A."/>
    <d v="2024-10-15T00:00:00"/>
    <s v="N.A."/>
  </r>
  <r>
    <d v="2024-10-12T00:00:00"/>
    <x v="0"/>
    <s v="V85940505"/>
    <s v="Express"/>
    <s v="Delivered"/>
    <n v="370"/>
    <s v="Kanpur"/>
    <x v="1"/>
    <s v="Less than 5 kgs"/>
    <s v="N.A."/>
    <d v="2024-10-14T00:00:00"/>
    <s v="N.A."/>
  </r>
  <r>
    <d v="2024-10-13T00:00:00"/>
    <x v="0"/>
    <s v="U32593948"/>
    <s v="Standard"/>
    <s v="Delivered"/>
    <n v="170"/>
    <s v="Kanpur"/>
    <x v="9"/>
    <s v="Less than 5 kgs"/>
    <s v="N.A."/>
    <d v="2024-10-16T00:00:00"/>
    <s v="N.A."/>
  </r>
  <r>
    <d v="2024-10-14T00:00:00"/>
    <x v="0"/>
    <s v="U32593949"/>
    <s v="Standard"/>
    <s v="Delivered"/>
    <n v="140"/>
    <s v="Kanpur"/>
    <x v="9"/>
    <s v="Less than 5 kgs"/>
    <s v="N.A."/>
    <d v="2024-10-16T00:00:00"/>
    <s v="N.A."/>
  </r>
  <r>
    <d v="2024-10-14T00:00:00"/>
    <x v="0"/>
    <s v="U32593950"/>
    <s v="Standard"/>
    <s v="Delivered"/>
    <n v="140"/>
    <s v="Kanpur"/>
    <x v="9"/>
    <s v="Less than 5 kgs"/>
    <s v="N.A."/>
    <d v="2024-10-16T00:00:00"/>
    <s v="N.A."/>
  </r>
  <r>
    <d v="2024-10-14T00:00:00"/>
    <x v="0"/>
    <s v="U32593951"/>
    <s v="Standard"/>
    <s v="Delivered"/>
    <n v="170"/>
    <s v="Kanpur"/>
    <x v="9"/>
    <s v="Less than 5 kgs"/>
    <s v="N.A."/>
    <d v="2024-10-16T00:00:00"/>
    <s v="N.A."/>
  </r>
  <r>
    <d v="2024-10-14T00:00:00"/>
    <x v="0"/>
    <s v="U32593952"/>
    <s v="Standard"/>
    <s v="Delivered"/>
    <n v="70"/>
    <s v="Kanpur"/>
    <x v="4"/>
    <s v="Less than 5 kgs"/>
    <s v="N.A."/>
    <d v="2024-10-15T00:00:00"/>
    <s v="N.A."/>
  </r>
  <r>
    <d v="2024-10-14T00:00:00"/>
    <x v="0"/>
    <s v="U32593953"/>
    <s v="Standard"/>
    <s v="Delivered"/>
    <n v="70"/>
    <s v="Kanpur"/>
    <x v="4"/>
    <s v="Less than 5 kgs"/>
    <s v="N.A."/>
    <d v="2024-10-15T00:00:00"/>
    <s v="N.A."/>
  </r>
  <r>
    <d v="2024-10-14T00:00:00"/>
    <x v="0"/>
    <s v="U32593954"/>
    <s v="Standard"/>
    <s v="Delivered"/>
    <n v="70"/>
    <s v="Kanpur"/>
    <x v="4"/>
    <s v="Less than 5 kgs"/>
    <s v="N.A."/>
    <d v="2024-10-15T00:00:00"/>
    <s v="N.A."/>
  </r>
  <r>
    <d v="2024-10-14T00:00:00"/>
    <x v="0"/>
    <s v="U32593955"/>
    <s v="Standard"/>
    <s v="Delivered"/>
    <n v="90"/>
    <s v="Kanpur"/>
    <x v="4"/>
    <s v="Less than 5 kgs"/>
    <s v="N.A."/>
    <d v="2024-10-15T00:00:00"/>
    <s v="N.A."/>
  </r>
  <r>
    <d v="2024-10-14T00:00:00"/>
    <x v="0"/>
    <s v="U32593956"/>
    <s v="Standard"/>
    <s v="Delivered"/>
    <n v="70"/>
    <s v="Kanpur"/>
    <x v="4"/>
    <s v="Less than 5 kgs"/>
    <s v="N.A."/>
    <d v="2024-10-15T00:00:00"/>
    <s v="N.A."/>
  </r>
  <r>
    <d v="2024-10-14T00:00:00"/>
    <x v="0"/>
    <s v="U32593957"/>
    <s v="Standard"/>
    <s v="Delivered"/>
    <n v="90"/>
    <s v="Kanpur"/>
    <x v="4"/>
    <s v="Less than 5 kgs"/>
    <s v="N.A."/>
    <d v="2024-10-15T00:00:00"/>
    <s v="N.A."/>
  </r>
  <r>
    <d v="2024-10-14T00:00:00"/>
    <x v="0"/>
    <s v="U32593958"/>
    <s v="Standard"/>
    <s v="Delivered"/>
    <n v="90"/>
    <s v="Kanpur"/>
    <x v="4"/>
    <s v="Less than 5 kgs"/>
    <s v="N.A."/>
    <d v="2024-10-15T00:00:00"/>
    <s v="N.A."/>
  </r>
  <r>
    <d v="2024-10-14T00:00:00"/>
    <x v="0"/>
    <s v="U32593959"/>
    <s v="Standard"/>
    <s v="Delivered"/>
    <n v="90"/>
    <s v="Kanpur"/>
    <x v="4"/>
    <s v="Less than 5 kgs"/>
    <s v="N.A."/>
    <d v="2024-10-15T00:00:00"/>
    <s v="N.A."/>
  </r>
  <r>
    <d v="2024-10-14T00:00:00"/>
    <x v="0"/>
    <s v="U32593960"/>
    <s v="Standard"/>
    <s v="Delivered"/>
    <n v="90"/>
    <s v="Kanpur"/>
    <x v="4"/>
    <s v="Less than 5 kgs"/>
    <s v="N.A."/>
    <d v="2024-10-15T00:00:00"/>
    <s v="N.A."/>
  </r>
  <r>
    <d v="2024-10-14T00:00:00"/>
    <x v="0"/>
    <s v="U32593961"/>
    <s v="Standard"/>
    <s v="Delivered"/>
    <n v="90"/>
    <s v="Kanpur"/>
    <x v="4"/>
    <s v="Less than 5 kgs"/>
    <s v="N.A."/>
    <d v="2024-10-15T00:00:00"/>
    <s v="N.A."/>
  </r>
  <r>
    <d v="2024-10-14T00:00:00"/>
    <x v="0"/>
    <s v="U32593962"/>
    <s v="Standard"/>
    <s v="Delivered"/>
    <n v="110"/>
    <s v="Kanpur"/>
    <x v="1"/>
    <s v="Less than 5 kgs"/>
    <s v="N.A."/>
    <d v="2024-10-15T00:00:00"/>
    <s v="N.A."/>
  </r>
  <r>
    <d v="2024-10-14T00:00:00"/>
    <x v="0"/>
    <s v="U32593963"/>
    <s v="Standard"/>
    <s v="Delivered"/>
    <n v="90"/>
    <s v="Kanpur"/>
    <x v="4"/>
    <s v="Less than 5 kgs"/>
    <s v="N.A."/>
    <d v="2024-10-15T00:00:00"/>
    <s v="N.A."/>
  </r>
  <r>
    <d v="2024-10-14T00:00:00"/>
    <x v="0"/>
    <s v="U32593964"/>
    <s v="Standard"/>
    <s v="Delivered"/>
    <n v="70"/>
    <s v="Kanpur"/>
    <x v="4"/>
    <s v="Less than 5 kgs"/>
    <s v="N.A."/>
    <d v="2024-10-15T00:00:00"/>
    <s v="N.A."/>
  </r>
  <r>
    <d v="2024-10-14T00:00:00"/>
    <x v="0"/>
    <s v="U32593965"/>
    <s v="Standard"/>
    <s v="Delivered"/>
    <n v="90"/>
    <s v="Kanpur"/>
    <x v="4"/>
    <s v="Less than 5 kgs"/>
    <s v="N.A."/>
    <d v="2024-10-15T00:00:00"/>
    <s v="N.A."/>
  </r>
  <r>
    <d v="2024-10-14T00:00:00"/>
    <x v="0"/>
    <s v="U32593966"/>
    <s v="Standard"/>
    <s v="Delivered"/>
    <n v="90"/>
    <s v="Kanpur"/>
    <x v="4"/>
    <s v="Less than 5 kgs"/>
    <s v="N.A."/>
    <d v="2024-10-15T00:00:00"/>
    <s v="N.A."/>
  </r>
  <r>
    <d v="2024-10-14T00:00:00"/>
    <x v="0"/>
    <s v="U32593967"/>
    <s v="Standard"/>
    <s v="Delivered"/>
    <n v="90"/>
    <s v="Kanpur"/>
    <x v="4"/>
    <s v="Less than 5 kgs"/>
    <s v="N.A."/>
    <d v="2024-10-15T00:00:00"/>
    <s v="N.A."/>
  </r>
  <r>
    <d v="2024-10-14T00:00:00"/>
    <x v="0"/>
    <s v="U32593968"/>
    <s v="Standard"/>
    <s v="Delivered"/>
    <n v="90"/>
    <s v="Kanpur"/>
    <x v="4"/>
    <s v="Less than 5 kgs"/>
    <s v="N.A."/>
    <d v="2024-10-15T00:00:00"/>
    <s v="N.A."/>
  </r>
  <r>
    <d v="2024-10-14T00:00:00"/>
    <x v="0"/>
    <s v="U32593969"/>
    <s v="Standard"/>
    <s v="Delivered"/>
    <n v="70"/>
    <s v="Kanpur"/>
    <x v="3"/>
    <s v="Less than 5 kgs"/>
    <s v="N.A."/>
    <d v="2024-10-15T00:00:00"/>
    <s v="N.A."/>
  </r>
  <r>
    <d v="2024-10-14T00:00:00"/>
    <x v="0"/>
    <s v="U32593970"/>
    <s v="Standard"/>
    <s v="Delivered"/>
    <n v="90"/>
    <s v="Kanpur"/>
    <x v="1"/>
    <s v="Less than 5 kgs"/>
    <s v="N.A."/>
    <d v="2024-10-16T00:00:00"/>
    <s v="N.A."/>
  </r>
  <r>
    <d v="2024-10-14T00:00:00"/>
    <x v="0"/>
    <s v="U32593971"/>
    <s v="Standard"/>
    <s v="Delivered"/>
    <n v="70"/>
    <s v="Kanpur"/>
    <x v="4"/>
    <s v="Less than 5 kgs"/>
    <s v="N.A."/>
    <d v="2024-10-15T00:00:00"/>
    <s v="N.A."/>
  </r>
  <r>
    <d v="2024-10-14T00:00:00"/>
    <x v="0"/>
    <s v="U32593972"/>
    <s v="Standard"/>
    <s v="Delivered"/>
    <n v="70"/>
    <s v="Kanpur"/>
    <x v="4"/>
    <s v="Less than 5 kgs"/>
    <s v="N.A."/>
    <d v="2024-10-15T00:00:00"/>
    <s v="N.A."/>
  </r>
  <r>
    <d v="2024-10-14T00:00:00"/>
    <x v="0"/>
    <s v="U32593973"/>
    <s v="Standard"/>
    <s v="Delivered"/>
    <n v="90"/>
    <s v="Kanpur"/>
    <x v="4"/>
    <s v="Less than 5 kgs"/>
    <s v="N.A."/>
    <d v="2024-10-15T00:00:00"/>
    <s v="N.A."/>
  </r>
  <r>
    <d v="2024-10-14T00:00:00"/>
    <x v="0"/>
    <s v="U32593974"/>
    <s v="Standard"/>
    <s v="Delivered"/>
    <n v="120"/>
    <s v="Kanpur"/>
    <x v="3"/>
    <s v="Less than 5 kgs"/>
    <s v="N.A."/>
    <d v="2024-10-15T00:00:00"/>
    <s v="N.A."/>
  </r>
  <r>
    <d v="2024-10-14T00:00:00"/>
    <x v="0"/>
    <s v="U32593975"/>
    <s v="Standard"/>
    <s v="Delivered"/>
    <n v="90"/>
    <s v="Kanpur"/>
    <x v="1"/>
    <s v="Less than 5 kgs"/>
    <s v="N.A."/>
    <d v="2024-10-16T00:00:00"/>
    <s v="N.A."/>
  </r>
  <r>
    <d v="2024-10-14T00:00:00"/>
    <x v="0"/>
    <s v="U32593976"/>
    <s v="Standard"/>
    <s v="Delivered"/>
    <n v="140"/>
    <s v="Kanpur"/>
    <x v="7"/>
    <s v="Less than 5 kgs"/>
    <s v="N.A."/>
    <d v="2024-10-16T00:00:00"/>
    <s v="N.A."/>
  </r>
  <r>
    <d v="2024-10-14T00:00:00"/>
    <x v="0"/>
    <s v="U32593977"/>
    <s v="Standard"/>
    <s v="Delivered"/>
    <n v="90"/>
    <s v="Kanpur"/>
    <x v="23"/>
    <s v="Less than 5 kgs"/>
    <s v="N.A."/>
    <d v="2024-10-16T00:00:00"/>
    <s v="N.A."/>
  </r>
  <r>
    <d v="2024-10-14T00:00:00"/>
    <x v="0"/>
    <s v="U32593978"/>
    <s v="Standard"/>
    <s v="Delivered"/>
    <n v="120"/>
    <s v="Kanpur"/>
    <x v="1"/>
    <s v="Less than 5 kgs"/>
    <s v="N.A."/>
    <d v="2024-10-16T00:00:00"/>
    <s v="N.A."/>
  </r>
  <r>
    <d v="2024-10-14T00:00:00"/>
    <x v="0"/>
    <s v="U32593979"/>
    <s v="Standard"/>
    <s v="Delivered"/>
    <n v="480"/>
    <s v="Kanpur"/>
    <x v="40"/>
    <s v="Less than 5 kgs"/>
    <s v="Clothes"/>
    <d v="2024-10-17T00:00:00"/>
    <s v="N.A."/>
  </r>
  <r>
    <d v="2024-10-14T00:00:00"/>
    <x v="0"/>
    <s v="U32593980"/>
    <s v="Standard"/>
    <s v="Delivered"/>
    <n v="230"/>
    <s v="Kanpur"/>
    <x v="2"/>
    <s v="Less than 5 kgs"/>
    <s v="N.A."/>
    <d v="2024-10-15T00:00:00"/>
    <s v="N.A."/>
  </r>
  <r>
    <d v="2024-10-15T00:00:00"/>
    <x v="0"/>
    <s v="D93994459"/>
    <s v="Standard"/>
    <s v="Delivered"/>
    <n v="650"/>
    <s v="Kanpur"/>
    <x v="15"/>
    <s v="More than 5 kgs"/>
    <s v="N.A."/>
    <d v="2024-10-17T00:00:00"/>
    <s v="N.A."/>
  </r>
  <r>
    <d v="2024-10-15T00:00:00"/>
    <x v="0"/>
    <s v="D93994460"/>
    <s v="Standard"/>
    <s v="Delivered"/>
    <n v="670"/>
    <s v="Kanpur"/>
    <x v="9"/>
    <s v="More than 5 kgs"/>
    <s v="N.A."/>
    <d v="2024-10-20T00:00:00"/>
    <s v="N.A."/>
  </r>
  <r>
    <d v="2024-10-15T00:00:00"/>
    <x v="0"/>
    <s v="V85940506"/>
    <s v="Express"/>
    <s v="Delivered"/>
    <n v="1150"/>
    <s v="Kanpur"/>
    <x v="41"/>
    <s v="Less than 5 kgs"/>
    <s v="N.A."/>
    <d v="2024-10-17T00:00:00"/>
    <s v="N.A."/>
  </r>
  <r>
    <d v="2024-10-15T00:00:00"/>
    <x v="0"/>
    <s v="V85940507"/>
    <s v="Express"/>
    <s v="Delivered"/>
    <n v="650"/>
    <s v="Kanpur"/>
    <x v="2"/>
    <s v="Less than 5 kgs"/>
    <s v="N.A."/>
    <d v="2024-10-16T00:00:00"/>
    <s v="N.A."/>
  </r>
  <r>
    <d v="2024-10-16T00:00:00"/>
    <x v="0"/>
    <s v="D93994461"/>
    <s v="Standard"/>
    <s v="Delivered"/>
    <n v="450"/>
    <s v="Kanpur"/>
    <x v="42"/>
    <s v="More than 5 kgs"/>
    <s v="N.A."/>
    <d v="2024-10-19T00:00:00"/>
    <s v="N.A."/>
  </r>
  <r>
    <d v="2024-10-16T00:00:00"/>
    <x v="0"/>
    <s v="D93994462"/>
    <s v="Standard"/>
    <s v="Delivered"/>
    <n v="760"/>
    <s v="Kanpur"/>
    <x v="7"/>
    <s v="More than 5 kgs"/>
    <s v="N.A."/>
    <d v="2024-10-22T00:00:00"/>
    <s v="N.A."/>
  </r>
  <r>
    <d v="2024-10-18T00:00:00"/>
    <x v="0"/>
    <s v="D93994463"/>
    <s v="Standard"/>
    <s v="Delivered"/>
    <n v="1000"/>
    <s v="Kanpur"/>
    <x v="3"/>
    <s v="More than 5 kgs"/>
    <s v="N.A."/>
    <d v="2024-10-21T00:00:00"/>
    <s v="N.A."/>
  </r>
  <r>
    <d v="2024-10-19T00:00:00"/>
    <x v="0"/>
    <s v="V85940508"/>
    <s v="Express"/>
    <s v="Delivered"/>
    <n v="490"/>
    <s v="Kanpur"/>
    <x v="3"/>
    <s v="Less than 5 kgs"/>
    <s v="N.A."/>
    <d v="2024-10-22T00:00:00"/>
    <s v="N.A."/>
  </r>
  <r>
    <d v="2024-10-21T00:00:00"/>
    <x v="0"/>
    <s v="D93994464"/>
    <s v="Standard"/>
    <s v="Delivered"/>
    <n v="1050"/>
    <s v="Kanpur"/>
    <x v="43"/>
    <s v="More than 5 kgs"/>
    <s v="N.A."/>
    <d v="2024-10-24T00:00:00"/>
    <s v="N.A."/>
  </r>
  <r>
    <d v="2024-10-21T00:00:00"/>
    <x v="0"/>
    <s v="U32594040"/>
    <s v="Standard"/>
    <s v="Delivered"/>
    <n v="110"/>
    <s v="Kanpur"/>
    <x v="1"/>
    <s v="Less than 5 kgs"/>
    <s v="N.A."/>
    <d v="2024-10-22T00:00:00"/>
    <s v="N.A."/>
  </r>
  <r>
    <d v="2024-10-21T00:00:00"/>
    <x v="0"/>
    <s v="U32594041"/>
    <s v="Standard"/>
    <s v="Delivered"/>
    <n v="110"/>
    <s v="Kanpur"/>
    <x v="1"/>
    <s v="Less than 5 kgs"/>
    <s v="N.A."/>
    <d v="2024-10-22T00:00:00"/>
    <s v="N.A."/>
  </r>
  <r>
    <d v="2024-10-21T00:00:00"/>
    <x v="0"/>
    <s v="U32594042"/>
    <s v="Standard"/>
    <s v="Delivered"/>
    <n v="540"/>
    <s v="Kanpur"/>
    <x v="1"/>
    <s v="Less than 5 kgs"/>
    <s v="N.A."/>
    <d v="2024-10-22T00:00:00"/>
    <s v="N.A."/>
  </r>
  <r>
    <d v="2024-10-21T00:00:00"/>
    <x v="0"/>
    <s v="U32594043"/>
    <s v="Standard"/>
    <s v="Delivered"/>
    <n v="150"/>
    <s v="Kanpur"/>
    <x v="7"/>
    <s v="Less than 5 kgs"/>
    <s v="Empty Box"/>
    <d v="2024-10-23T00:00:00"/>
    <s v="N.A."/>
  </r>
  <r>
    <d v="2024-10-21T00:00:00"/>
    <x v="0"/>
    <s v="U32594044"/>
    <s v="Standard"/>
    <s v="Delivered"/>
    <n v="90"/>
    <s v="Kanpur"/>
    <x v="4"/>
    <s v="Less than 5 kgs"/>
    <s v="N.A."/>
    <d v="2024-10-22T00:00:00"/>
    <s v="N.A."/>
  </r>
  <r>
    <d v="2024-10-22T00:00:00"/>
    <x v="0"/>
    <s v="D93994465"/>
    <s v="Standard"/>
    <s v="Delivered"/>
    <n v="340"/>
    <s v="Kanpur"/>
    <x v="12"/>
    <s v="More than 5 kgs"/>
    <s v="N.A."/>
    <d v="2024-10-23T00:00:00"/>
    <s v="N.A."/>
  </r>
  <r>
    <d v="2024-10-22T00:00:00"/>
    <x v="0"/>
    <s v="D93994466"/>
    <s v="Standard"/>
    <s v="Delivered"/>
    <n v="480"/>
    <s v="Kanpur"/>
    <x v="9"/>
    <s v="More than 5 kgs"/>
    <s v="N.A."/>
    <d v="2024-10-30T00:00:00"/>
    <s v="N.A."/>
  </r>
  <r>
    <d v="2024-10-22T00:00:00"/>
    <x v="0"/>
    <s v="D93994467"/>
    <s v="Standard"/>
    <s v="Delivered"/>
    <n v="520"/>
    <s v="Kanpur"/>
    <x v="9"/>
    <s v="More than 5 kgs"/>
    <s v="N.A."/>
    <d v="2024-10-27T00:00:00"/>
    <s v="N.A."/>
  </r>
  <r>
    <d v="2024-10-22T00:00:00"/>
    <x v="0"/>
    <s v="D93994468"/>
    <s v="Standard"/>
    <s v="Delivered"/>
    <n v="1350"/>
    <s v="Kanpur"/>
    <x v="44"/>
    <s v="More than 5 kgs"/>
    <s v="N.A."/>
    <d v="2024-10-26T00:00:00"/>
    <s v="N.A."/>
  </r>
  <r>
    <d v="2024-10-22T00:00:00"/>
    <x v="0"/>
    <s v="V85940509"/>
    <s v="Express"/>
    <s v="Delivered"/>
    <n v="320"/>
    <s v="Kanpur"/>
    <x v="7"/>
    <s v="Less than 5 kgs"/>
    <s v="N.A."/>
    <d v="2024-10-24T00:00:00"/>
    <s v="N.A."/>
  </r>
  <r>
    <d v="2024-10-23T00:00:00"/>
    <x v="0"/>
    <s v="U32594073"/>
    <s v="Standard"/>
    <s v="Delivered"/>
    <n v="70"/>
    <s v="Kanpur"/>
    <x v="4"/>
    <s v="Less than 5 kgs"/>
    <s v="N.A."/>
    <d v="2024-10-24T00:00:00"/>
    <s v="N.A."/>
  </r>
  <r>
    <d v="2024-10-23T00:00:00"/>
    <x v="0"/>
    <s v="U32594074"/>
    <s v="Standard"/>
    <s v="Delivered"/>
    <n v="70"/>
    <s v="Kanpur"/>
    <x v="4"/>
    <s v="Less than 5 kgs"/>
    <s v="N.A."/>
    <d v="2024-10-24T00:00:00"/>
    <s v="N.A."/>
  </r>
  <r>
    <d v="2024-10-23T00:00:00"/>
    <x v="0"/>
    <s v="U32594075"/>
    <s v="Standard"/>
    <s v="Delivered"/>
    <n v="90"/>
    <s v="Kanpur"/>
    <x v="4"/>
    <s v="Less than 5 kgs"/>
    <s v="N.A."/>
    <d v="2024-10-24T00:00:00"/>
    <s v="N.A."/>
  </r>
  <r>
    <d v="2024-10-23T00:00:00"/>
    <x v="0"/>
    <s v="U32594076"/>
    <s v="Standard"/>
    <s v="Delivered"/>
    <n v="90"/>
    <s v="Kanpur"/>
    <x v="4"/>
    <s v="Less than 5 kgs"/>
    <s v="N.A."/>
    <d v="2024-10-24T00:00:00"/>
    <s v="N.A."/>
  </r>
  <r>
    <d v="2024-10-23T00:00:00"/>
    <x v="0"/>
    <s v="U32594077"/>
    <s v="Standard"/>
    <s v="Delivered"/>
    <n v="140"/>
    <s v="Kanpur"/>
    <x v="16"/>
    <s v="Less than 5 kgs"/>
    <s v="N.A."/>
    <d v="2024-10-26T00:00:00"/>
    <s v="N.A."/>
  </r>
  <r>
    <d v="2024-10-23T00:00:00"/>
    <x v="0"/>
    <s v="U32594078"/>
    <s v="Standard"/>
    <s v="Delivered"/>
    <n v="140"/>
    <s v="Kanpur"/>
    <x v="16"/>
    <s v="Less than 5 kgs"/>
    <s v="N.A."/>
    <d v="2024-10-26T00:00:00"/>
    <s v="N.A."/>
  </r>
  <r>
    <d v="2024-10-23T00:00:00"/>
    <x v="0"/>
    <s v="U32594079"/>
    <s v="Standard"/>
    <s v="Delivered"/>
    <n v="90"/>
    <s v="Kanpur"/>
    <x v="3"/>
    <s v="Less than 5 kgs"/>
    <s v="N.A."/>
    <d v="2024-10-25T00:00:00"/>
    <s v="N.A."/>
  </r>
  <r>
    <d v="2024-10-23T00:00:00"/>
    <x v="0"/>
    <s v="U32594080"/>
    <s v="Standard"/>
    <s v="Delivered"/>
    <n v="170"/>
    <s v="Kanpur"/>
    <x v="10"/>
    <s v="Less than 5 kgs"/>
    <s v="N.A."/>
    <d v="2024-10-28T00:00:00"/>
    <s v="N.A."/>
  </r>
  <r>
    <d v="2024-10-23T00:00:00"/>
    <x v="0"/>
    <s v="U32594081"/>
    <s v="Standard"/>
    <s v="Delivered"/>
    <n v="90"/>
    <s v="Kanpur"/>
    <x v="1"/>
    <s v="Less than 5 kgs"/>
    <s v="N.A."/>
    <d v="2024-10-25T00:00:00"/>
    <s v="N.A."/>
  </r>
  <r>
    <d v="2024-10-23T00:00:00"/>
    <x v="0"/>
    <s v="V85940510"/>
    <s v="Express"/>
    <s v="Delivered"/>
    <n v="540"/>
    <s v="Kanpur"/>
    <x v="45"/>
    <s v="Less than 5 kgs"/>
    <s v="N.A."/>
    <d v="2024-10-26T00:00:00"/>
    <s v="N.A."/>
  </r>
  <r>
    <d v="2024-10-23T00:00:00"/>
    <x v="0"/>
    <s v="V85940511"/>
    <s v="Express"/>
    <s v="Delivered"/>
    <n v="310"/>
    <s v="Kanpur"/>
    <x v="9"/>
    <s v="Less than 5 kgs"/>
    <s v="N.A."/>
    <d v="2024-10-25T00:00:00"/>
    <s v="N.A."/>
  </r>
  <r>
    <d v="2024-10-24T00:00:00"/>
    <x v="0"/>
    <s v="U32594082"/>
    <s v="Standard"/>
    <s v="Delivered"/>
    <n v="90"/>
    <s v="Kanpur"/>
    <x v="1"/>
    <s v="Less than 5 kgs"/>
    <s v="N.A."/>
    <d v="2024-10-25T00:00:00"/>
    <s v="N.A."/>
  </r>
  <r>
    <d v="2024-10-24T00:00:00"/>
    <x v="0"/>
    <s v="U32594083"/>
    <s v="Standard"/>
    <s v="Delivered"/>
    <n v="1070"/>
    <s v="Kanpur"/>
    <x v="1"/>
    <s v="Less than 5 kgs"/>
    <s v="Clothes"/>
    <d v="2024-10-26T00:00:00"/>
    <s v="N.A."/>
  </r>
  <r>
    <d v="2024-10-24T00:00:00"/>
    <x v="0"/>
    <s v="U32594084"/>
    <s v="Standard"/>
    <s v="Delivered"/>
    <n v="90"/>
    <s v="Kanpur"/>
    <x v="3"/>
    <s v="Less than 5 kgs"/>
    <s v="N.A."/>
    <d v="2024-10-26T00:00:00"/>
    <s v="N.A."/>
  </r>
  <r>
    <d v="2024-10-24T00:00:00"/>
    <x v="0"/>
    <s v="U32594085"/>
    <s v="Standard"/>
    <s v="Delivered"/>
    <n v="150"/>
    <s v="Kanpur"/>
    <x v="1"/>
    <s v="Less than 5 kgs"/>
    <s v="N.A."/>
    <d v="2024-10-26T00:00:00"/>
    <s v="N.A."/>
  </r>
  <r>
    <d v="2024-10-24T00:00:00"/>
    <x v="0"/>
    <s v="U32594086"/>
    <s v="Standard"/>
    <s v="Delivered"/>
    <n v="540"/>
    <s v="Kanpur"/>
    <x v="23"/>
    <s v="Less than 5 kgs"/>
    <s v="N.A."/>
    <d v="2024-10-26T00:00:00"/>
    <s v="N.A."/>
  </r>
  <r>
    <d v="2024-10-24T00:00:00"/>
    <x v="0"/>
    <s v="U32594087"/>
    <s v="Standard"/>
    <s v="Delivered"/>
    <n v="750"/>
    <s v="Kanpur"/>
    <x v="10"/>
    <s v="Less than 5 kgs"/>
    <s v="N.A."/>
    <d v="2024-10-27T00:00:00"/>
    <s v="N.A."/>
  </r>
  <r>
    <d v="2024-10-24T00:00:00"/>
    <x v="0"/>
    <s v="V85940512"/>
    <s v="Express"/>
    <s v="Delivered"/>
    <n v="390"/>
    <s v="Kanpur"/>
    <x v="46"/>
    <s v="Less than 5 kgs"/>
    <s v="N.A."/>
    <d v="2024-10-28T00:00:00"/>
    <s v="N.A."/>
  </r>
  <r>
    <d v="2024-10-24T00:00:00"/>
    <x v="0"/>
    <s v="V85940513"/>
    <s v="Express"/>
    <s v="Delivered"/>
    <n v="310"/>
    <s v="Kanpur"/>
    <x v="1"/>
    <s v="Less than 5 kgs"/>
    <s v="N.A."/>
    <d v="2024-10-25T00:00:00"/>
    <s v="N.A."/>
  </r>
  <r>
    <d v="2024-10-25T00:00:00"/>
    <x v="0"/>
    <s v="U32594088"/>
    <s v="Standard"/>
    <s v="Delivered"/>
    <n v="150"/>
    <s v="Kanpur"/>
    <x v="47"/>
    <s v="Less than 5 kgs"/>
    <s v="Cup"/>
    <d v="2024-10-30T00:00:00"/>
    <s v="N.A."/>
  </r>
  <r>
    <d v="2024-10-25T00:00:00"/>
    <x v="0"/>
    <s v="U32594089"/>
    <s v="Standard"/>
    <s v="Delivered"/>
    <n v="150"/>
    <s v="Kanpur"/>
    <x v="4"/>
    <s v="Less than 5 kgs"/>
    <s v="N.A."/>
    <d v="2024-10-26T00:00:00"/>
    <s v="N.A."/>
  </r>
  <r>
    <d v="2024-10-25T00:00:00"/>
    <x v="0"/>
    <s v="U32594090"/>
    <s v="Standard"/>
    <s v="Delivered"/>
    <n v="380"/>
    <s v="Kanpur"/>
    <x v="1"/>
    <s v="Less than 5 kgs"/>
    <s v="Gift"/>
    <d v="2024-10-28T00:00:00"/>
    <s v="N.A."/>
  </r>
  <r>
    <d v="2024-10-25T00:00:00"/>
    <x v="0"/>
    <s v="U32594091"/>
    <s v="Standard"/>
    <s v="Delivered"/>
    <n v="650"/>
    <s v="Kanpur"/>
    <x v="48"/>
    <s v="Less than 5 kgs"/>
    <s v="N.A."/>
    <d v="2024-10-31T00:00:00"/>
    <s v="N.A."/>
  </r>
  <r>
    <d v="2024-10-25T00:00:00"/>
    <x v="0"/>
    <s v="U32594092"/>
    <s v="Standard"/>
    <s v="Delivered"/>
    <n v="90"/>
    <s v="Kanpur"/>
    <x v="4"/>
    <s v="Less than 5 kgs"/>
    <s v="N.A."/>
    <d v="2024-10-28T00:00:00"/>
    <s v="N.A."/>
  </r>
  <r>
    <d v="2024-10-25T00:00:00"/>
    <x v="0"/>
    <s v="U32594093"/>
    <s v="Standard"/>
    <s v="Delivered"/>
    <n v="70"/>
    <s v="Kanpur"/>
    <x v="4"/>
    <s v="Less than 5 kgs"/>
    <s v="N.A."/>
    <d v="2024-10-28T00:00:00"/>
    <s v="N.A."/>
  </r>
  <r>
    <d v="2024-10-25T00:00:00"/>
    <x v="0"/>
    <s v="U32594094"/>
    <s v="Standard"/>
    <s v="Delivered"/>
    <n v="70"/>
    <s v="Kanpur"/>
    <x v="4"/>
    <s v="Less than 5 kgs"/>
    <s v="N.A."/>
    <d v="2024-10-28T00:00:00"/>
    <s v="N.A."/>
  </r>
  <r>
    <d v="2024-10-25T00:00:00"/>
    <x v="0"/>
    <s v="U32594095"/>
    <s v="Standard"/>
    <s v="Delivered"/>
    <n v="90"/>
    <s v="Kanpur"/>
    <x v="4"/>
    <s v="Less than 5 kgs"/>
    <s v="N.A."/>
    <d v="2024-10-28T00:00:00"/>
    <s v="N.A."/>
  </r>
  <r>
    <d v="2024-10-25T00:00:00"/>
    <x v="0"/>
    <s v="U32594096"/>
    <s v="Standard"/>
    <s v="Delivered"/>
    <n v="70"/>
    <s v="Kanpur"/>
    <x v="4"/>
    <s v="Less than 5 kgs"/>
    <s v="N.A."/>
    <d v="2024-10-28T00:00:00"/>
    <s v="N.A."/>
  </r>
  <r>
    <d v="2024-10-25T00:00:00"/>
    <x v="0"/>
    <s v="U32594097"/>
    <s v="Standard"/>
    <s v="Delivered"/>
    <n v="90"/>
    <s v="Kanpur"/>
    <x v="4"/>
    <s v="Less than 5 kgs"/>
    <s v="N.A."/>
    <d v="2024-10-28T00:00:00"/>
    <s v="N.A."/>
  </r>
  <r>
    <d v="2024-10-25T00:00:00"/>
    <x v="0"/>
    <s v="U32594098"/>
    <s v="Standard"/>
    <s v="Delivered"/>
    <n v="90"/>
    <s v="Kanpur"/>
    <x v="3"/>
    <s v="Less than 5 kgs"/>
    <s v="N.A."/>
    <d v="2024-10-28T00:00:00"/>
    <s v="N.A."/>
  </r>
  <r>
    <d v="2024-10-25T00:00:00"/>
    <x v="0"/>
    <s v="U32594099"/>
    <s v="Standard"/>
    <s v="Delivered"/>
    <n v="150"/>
    <s v="Kanpur"/>
    <x v="49"/>
    <s v="Less than 5 kgs"/>
    <s v="N.A."/>
    <d v="2024-11-04T00:00:00"/>
    <s v="N.A."/>
  </r>
  <r>
    <d v="2024-10-25T00:00:00"/>
    <x v="0"/>
    <s v="U32594100"/>
    <s v="Standard"/>
    <s v="Delivered"/>
    <n v="210"/>
    <s v="Kanpur"/>
    <x v="50"/>
    <s v="Less than 5 kgs"/>
    <s v="N.A."/>
    <d v="2024-10-28T00:00:00"/>
    <s v="N.A."/>
  </r>
  <r>
    <d v="2024-10-26T00:00:00"/>
    <x v="0"/>
    <s v="U32594101"/>
    <s v="Standard"/>
    <s v="Returned"/>
    <n v="360"/>
    <s v="Kanpur"/>
    <x v="51"/>
    <s v="Less than 5 kgs"/>
    <s v="N.A."/>
    <d v="2024-10-29T00:00:00"/>
    <d v="2024-11-14T00:00:00"/>
  </r>
  <r>
    <d v="2024-10-26T00:00:00"/>
    <x v="0"/>
    <s v="U32594102"/>
    <s v="Standard"/>
    <s v="Delivered"/>
    <n v="150"/>
    <s v="Kanpur"/>
    <x v="1"/>
    <s v="Less than 5 kgs"/>
    <s v="N.A."/>
    <d v="2024-10-29T00:00:00"/>
    <s v="N.A."/>
  </r>
  <r>
    <d v="2024-10-26T00:00:00"/>
    <x v="0"/>
    <s v="U32594103"/>
    <s v="Standard"/>
    <s v="Delivered"/>
    <n v="120"/>
    <s v="Kanpur"/>
    <x v="23"/>
    <s v="Less than 5 kgs"/>
    <s v="Pooja Accessories"/>
    <d v="2024-10-29T00:00:00"/>
    <s v="N.A."/>
  </r>
  <r>
    <d v="2024-10-26T00:00:00"/>
    <x v="0"/>
    <s v="U32594104"/>
    <s v="Standard"/>
    <s v="Delivered"/>
    <n v="150"/>
    <s v="Kanpur"/>
    <x v="3"/>
    <s v="Less than 5 kgs"/>
    <s v="Clothes"/>
    <d v="2024-10-28T00:00:00"/>
    <s v="N.A."/>
  </r>
  <r>
    <d v="2024-10-28T00:00:00"/>
    <x v="0"/>
    <s v="V85940514"/>
    <s v="Express"/>
    <s v="Delivered"/>
    <n v="250"/>
    <s v="Kanpur"/>
    <x v="3"/>
    <s v="Less than 5 kgs"/>
    <s v="N.A."/>
    <d v="2024-10-30T00:00:00"/>
    <s v="N.A."/>
  </r>
  <r>
    <d v="2024-10-30T00:00:00"/>
    <x v="0"/>
    <s v="V85940515"/>
    <s v="Express"/>
    <s v="Delivered"/>
    <n v="240"/>
    <s v="Kanpur"/>
    <x v="52"/>
    <s v="Less than 5 kgs"/>
    <s v="N.A."/>
    <d v="2024-11-02T00:00:00"/>
    <s v="N.A."/>
  </r>
  <r>
    <m/>
    <x v="1"/>
    <m/>
    <m/>
    <m/>
    <m/>
    <m/>
    <x v="53"/>
    <m/>
    <m/>
    <m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d v="2024-10-01T00:00:00"/>
    <s v="October-2024"/>
    <s v="V85748809"/>
    <x v="0"/>
    <x v="0"/>
    <n v="680"/>
    <s v="Kanpur"/>
    <x v="0"/>
    <s v="Less than 5 kgs"/>
    <x v="0"/>
    <d v="2024-10-03T00:00:00"/>
    <s v="N.A."/>
  </r>
  <r>
    <d v="2024-10-01T00:00:00"/>
    <s v="October-2024"/>
    <s v="V85748810"/>
    <x v="0"/>
    <x v="0"/>
    <n v="310"/>
    <s v="Kanpur"/>
    <x v="1"/>
    <s v="Less than 5 kgs"/>
    <x v="0"/>
    <d v="2024-10-03T00:00:00"/>
    <s v="N.A."/>
  </r>
  <r>
    <d v="2024-10-03T00:00:00"/>
    <s v="October-2024"/>
    <s v="U32167711"/>
    <x v="1"/>
    <x v="0"/>
    <n v="320"/>
    <s v="Kanpur"/>
    <x v="2"/>
    <s v="Less than 5 kgs"/>
    <x v="1"/>
    <d v="2024-10-07T00:00:00"/>
    <s v="N.A."/>
  </r>
  <r>
    <d v="2024-10-03T00:00:00"/>
    <s v="October-2024"/>
    <s v="U32167712"/>
    <x v="1"/>
    <x v="1"/>
    <n v="140"/>
    <s v="Kanpur"/>
    <x v="3"/>
    <s v="Less than 5 kgs"/>
    <x v="0"/>
    <d v="2024-10-15T00:00:00"/>
    <d v="2024-11-08T00:00:00"/>
  </r>
  <r>
    <d v="2024-10-03T00:00:00"/>
    <s v="October-2024"/>
    <s v="U32167713"/>
    <x v="1"/>
    <x v="0"/>
    <n v="150"/>
    <s v="Kanpur"/>
    <x v="3"/>
    <s v="Less than 5 kgs"/>
    <x v="0"/>
    <d v="2024-10-05T00:00:00"/>
    <s v="N.A."/>
  </r>
  <r>
    <d v="2024-10-03T00:00:00"/>
    <s v="October-2024"/>
    <s v="U32167714"/>
    <x v="1"/>
    <x v="0"/>
    <n v="100"/>
    <s v="Kanpur"/>
    <x v="4"/>
    <s v="Less than 5 kgs"/>
    <x v="0"/>
    <d v="2024-10-05T00:00:00"/>
    <s v="N.A."/>
  </r>
  <r>
    <d v="2024-10-03T00:00:00"/>
    <s v="October-2024"/>
    <s v="U32167715"/>
    <x v="1"/>
    <x v="0"/>
    <n v="350"/>
    <s v="Kanpur"/>
    <x v="5"/>
    <s v="Less than 5 kgs"/>
    <x v="2"/>
    <d v="2024-10-05T00:00:00"/>
    <s v="N.A."/>
  </r>
  <r>
    <d v="2024-10-03T00:00:00"/>
    <s v="October-2024"/>
    <s v="U32167717"/>
    <x v="1"/>
    <x v="0"/>
    <n v="230"/>
    <s v="Kanpur"/>
    <x v="6"/>
    <s v="Less than 5 kgs"/>
    <x v="0"/>
    <d v="2024-10-05T00:00:00"/>
    <s v="N.A."/>
  </r>
  <r>
    <d v="2024-10-03T00:00:00"/>
    <s v="October-2024"/>
    <s v="U32167718"/>
    <x v="1"/>
    <x v="0"/>
    <n v="720"/>
    <s v="Kanpur"/>
    <x v="7"/>
    <s v="Less than 5 kgs"/>
    <x v="0"/>
    <d v="2024-10-07T00:00:00"/>
    <s v="N.A."/>
  </r>
  <r>
    <d v="2024-10-03T00:00:00"/>
    <s v="October-2024"/>
    <s v="U32167719"/>
    <x v="1"/>
    <x v="0"/>
    <n v="90"/>
    <s v="Kanpur"/>
    <x v="6"/>
    <s v="Less than 5 kgs"/>
    <x v="0"/>
    <d v="2024-10-05T00:00:00"/>
    <s v="N.A."/>
  </r>
  <r>
    <d v="2024-10-03T00:00:00"/>
    <s v="October-2024"/>
    <s v="V85748812"/>
    <x v="0"/>
    <x v="0"/>
    <n v="270"/>
    <s v="Kanpur"/>
    <x v="8"/>
    <s v="Less than 5 kgs"/>
    <x v="0"/>
    <d v="2024-10-07T00:00:00"/>
    <s v="N.A."/>
  </r>
  <r>
    <d v="2024-10-03T00:00:00"/>
    <s v="October-2024"/>
    <s v="V85748813"/>
    <x v="0"/>
    <x v="0"/>
    <n v="500"/>
    <s v="Kanpur"/>
    <x v="1"/>
    <s v="Less than 5 kgs"/>
    <x v="3"/>
    <d v="2024-10-04T00:00:00"/>
    <s v="N.A."/>
  </r>
  <r>
    <d v="2024-10-04T00:00:00"/>
    <s v="October-2024"/>
    <s v="D93994451"/>
    <x v="1"/>
    <x v="0"/>
    <n v="480"/>
    <s v="Kanpur"/>
    <x v="4"/>
    <s v="More than 5 kgs"/>
    <x v="2"/>
    <d v="2024-10-07T00:00:00"/>
    <s v="N.A."/>
  </r>
  <r>
    <d v="2024-10-04T00:00:00"/>
    <s v="October-2024"/>
    <s v="U32167716"/>
    <x v="1"/>
    <x v="0"/>
    <n v="90"/>
    <s v="Kanpur"/>
    <x v="4"/>
    <s v="Less than 5 kgs"/>
    <x v="0"/>
    <d v="2024-10-07T00:00:00"/>
    <s v="N.A."/>
  </r>
  <r>
    <d v="2024-10-04T00:00:00"/>
    <s v="October-2024"/>
    <s v="U32167720"/>
    <x v="1"/>
    <x v="0"/>
    <n v="140"/>
    <s v="Kanpur"/>
    <x v="9"/>
    <s v="Less than 5 kgs"/>
    <x v="0"/>
    <d v="2024-10-06T00:00:00"/>
    <s v="N.A."/>
  </r>
  <r>
    <d v="2024-10-04T00:00:00"/>
    <s v="October-2024"/>
    <s v="U32167721"/>
    <x v="1"/>
    <x v="0"/>
    <n v="140"/>
    <s v="Kanpur"/>
    <x v="9"/>
    <s v="Less than 5 kgs"/>
    <x v="0"/>
    <d v="2024-10-06T00:00:00"/>
    <s v="N.A."/>
  </r>
  <r>
    <d v="2024-10-04T00:00:00"/>
    <s v="October-2024"/>
    <s v="U32167722"/>
    <x v="1"/>
    <x v="0"/>
    <n v="140"/>
    <s v="Kanpur"/>
    <x v="9"/>
    <s v="Less than 5 kgs"/>
    <x v="0"/>
    <d v="2024-10-06T00:00:00"/>
    <s v="N.A."/>
  </r>
  <r>
    <d v="2024-10-04T00:00:00"/>
    <s v="October-2024"/>
    <s v="U32167723"/>
    <x v="1"/>
    <x v="0"/>
    <n v="140"/>
    <s v="Kanpur"/>
    <x v="9"/>
    <s v="Less than 5 kgs"/>
    <x v="0"/>
    <d v="2024-10-06T00:00:00"/>
    <s v="N.A."/>
  </r>
  <r>
    <d v="2024-10-04T00:00:00"/>
    <s v="October-2024"/>
    <s v="U32167724"/>
    <x v="1"/>
    <x v="0"/>
    <n v="140"/>
    <s v="Kanpur"/>
    <x v="9"/>
    <s v="Less than 5 kgs"/>
    <x v="0"/>
    <d v="2024-10-06T00:00:00"/>
    <s v="N.A."/>
  </r>
  <r>
    <d v="2024-10-04T00:00:00"/>
    <s v="October-2024"/>
    <s v="U32167725"/>
    <x v="1"/>
    <x v="0"/>
    <n v="140"/>
    <s v="Kanpur"/>
    <x v="9"/>
    <s v="Less than 5 kgs"/>
    <x v="0"/>
    <d v="2024-10-06T00:00:00"/>
    <s v="N.A."/>
  </r>
  <r>
    <d v="2024-10-04T00:00:00"/>
    <s v="October-2024"/>
    <s v="U32167726"/>
    <x v="1"/>
    <x v="0"/>
    <n v="140"/>
    <s v="Kanpur"/>
    <x v="9"/>
    <s v="Less than 5 kgs"/>
    <x v="0"/>
    <d v="2024-10-06T00:00:00"/>
    <s v="N.A."/>
  </r>
  <r>
    <d v="2024-10-04T00:00:00"/>
    <s v="October-2024"/>
    <s v="U32167727"/>
    <x v="1"/>
    <x v="0"/>
    <n v="140"/>
    <s v="Kanpur"/>
    <x v="9"/>
    <s v="Less than 5 kgs"/>
    <x v="0"/>
    <d v="2024-10-06T00:00:00"/>
    <s v="N.A."/>
  </r>
  <r>
    <d v="2024-10-04T00:00:00"/>
    <s v="October-2024"/>
    <s v="U32167728"/>
    <x v="1"/>
    <x v="0"/>
    <n v="140"/>
    <s v="Kanpur"/>
    <x v="9"/>
    <s v="Less than 5 kgs"/>
    <x v="0"/>
    <d v="2024-10-06T00:00:00"/>
    <s v="N.A."/>
  </r>
  <r>
    <d v="2024-10-04T00:00:00"/>
    <s v="October-2024"/>
    <s v="U32167729"/>
    <x v="1"/>
    <x v="0"/>
    <n v="170"/>
    <s v="Kanpur"/>
    <x v="9"/>
    <s v="Less than 5 kgs"/>
    <x v="0"/>
    <d v="2024-10-06T00:00:00"/>
    <s v="N.A."/>
  </r>
  <r>
    <d v="2024-10-04T00:00:00"/>
    <s v="October-2024"/>
    <s v="U32167730"/>
    <x v="1"/>
    <x v="0"/>
    <n v="90"/>
    <s v="Kanpur"/>
    <x v="3"/>
    <s v="Less than 5 kgs"/>
    <x v="0"/>
    <d v="2024-10-07T00:00:00"/>
    <s v="N.A."/>
  </r>
  <r>
    <d v="2024-10-04T00:00:00"/>
    <s v="October-2024"/>
    <s v="U32167731"/>
    <x v="1"/>
    <x v="0"/>
    <n v="140"/>
    <s v="Kanpur"/>
    <x v="0"/>
    <s v="Less than 5 kgs"/>
    <x v="0"/>
    <d v="2024-10-07T00:00:00"/>
    <s v="N.A."/>
  </r>
  <r>
    <d v="2024-10-04T00:00:00"/>
    <s v="October-2024"/>
    <s v="U32167732"/>
    <x v="1"/>
    <x v="0"/>
    <n v="170"/>
    <s v="Kanpur"/>
    <x v="1"/>
    <s v="Less than 5 kgs"/>
    <x v="0"/>
    <d v="2024-10-07T00:00:00"/>
    <s v="N.A."/>
  </r>
  <r>
    <d v="2024-10-04T00:00:00"/>
    <s v="October-2024"/>
    <s v="U32167733"/>
    <x v="1"/>
    <x v="0"/>
    <n v="70"/>
    <s v="Kanpur"/>
    <x v="4"/>
    <s v="Less than 5 kgs"/>
    <x v="0"/>
    <d v="2024-10-07T00:00:00"/>
    <s v="N.A."/>
  </r>
  <r>
    <d v="2024-10-04T00:00:00"/>
    <s v="October-2024"/>
    <s v="U32167734"/>
    <x v="1"/>
    <x v="0"/>
    <n v="70"/>
    <s v="Kanpur"/>
    <x v="4"/>
    <s v="Less than 5 kgs"/>
    <x v="0"/>
    <d v="2024-10-07T00:00:00"/>
    <s v="N.A."/>
  </r>
  <r>
    <d v="2024-10-04T00:00:00"/>
    <s v="October-2024"/>
    <s v="U32167735"/>
    <x v="1"/>
    <x v="0"/>
    <n v="70"/>
    <s v="Kanpur"/>
    <x v="4"/>
    <s v="Less than 5 kgs"/>
    <x v="0"/>
    <d v="2024-10-07T00:00:00"/>
    <s v="N.A."/>
  </r>
  <r>
    <d v="2024-10-04T00:00:00"/>
    <s v="October-2024"/>
    <s v="U32167736"/>
    <x v="1"/>
    <x v="0"/>
    <n v="70"/>
    <s v="Kanpur"/>
    <x v="4"/>
    <s v="Less than 5 kgs"/>
    <x v="0"/>
    <d v="2024-10-07T00:00:00"/>
    <s v="N.A."/>
  </r>
  <r>
    <d v="2024-10-04T00:00:00"/>
    <s v="October-2024"/>
    <s v="U32167737"/>
    <x v="1"/>
    <x v="0"/>
    <n v="70"/>
    <s v="Kanpur"/>
    <x v="4"/>
    <s v="Less than 5 kgs"/>
    <x v="0"/>
    <d v="2024-10-07T00:00:00"/>
    <s v="N.A."/>
  </r>
  <r>
    <d v="2024-10-04T00:00:00"/>
    <s v="October-2024"/>
    <s v="U32167738"/>
    <x v="1"/>
    <x v="0"/>
    <n v="140"/>
    <s v="Kanpur"/>
    <x v="10"/>
    <s v="Less than 5 kgs"/>
    <x v="0"/>
    <d v="2024-10-08T00:00:00"/>
    <s v="N.A."/>
  </r>
  <r>
    <d v="2024-10-04T00:00:00"/>
    <s v="October-2024"/>
    <s v="U32167739"/>
    <x v="1"/>
    <x v="0"/>
    <n v="110"/>
    <s v="Kanpur"/>
    <x v="11"/>
    <s v="Less than 5 kgs"/>
    <x v="0"/>
    <d v="2024-10-07T00:00:00"/>
    <s v="N.A."/>
  </r>
  <r>
    <d v="2024-10-04T00:00:00"/>
    <s v="October-2024"/>
    <s v="U32167740"/>
    <x v="1"/>
    <x v="0"/>
    <n v="90"/>
    <s v="Kanpur"/>
    <x v="12"/>
    <s v="Less than 5 kgs"/>
    <x v="0"/>
    <d v="2024-10-05T00:00:00"/>
    <s v="N.A."/>
  </r>
  <r>
    <d v="2024-10-04T00:00:00"/>
    <s v="October-2024"/>
    <s v="U32167741"/>
    <x v="1"/>
    <x v="0"/>
    <n v="250"/>
    <s v="Kanpur"/>
    <x v="13"/>
    <s v="Less than 5 kgs"/>
    <x v="0"/>
    <d v="2024-10-16T00:00:00"/>
    <s v="N.A."/>
  </r>
  <r>
    <d v="2024-10-04T00:00:00"/>
    <s v="October-2024"/>
    <s v="U32167742"/>
    <x v="1"/>
    <x v="0"/>
    <n v="320"/>
    <s v="Kanpur"/>
    <x v="7"/>
    <s v="Less than 5 kgs"/>
    <x v="4"/>
    <d v="2024-10-07T00:00:00"/>
    <s v="N.A."/>
  </r>
  <r>
    <d v="2024-10-04T00:00:00"/>
    <s v="October-2024"/>
    <s v="V85748811"/>
    <x v="0"/>
    <x v="0"/>
    <n v="500"/>
    <s v="Kanpur"/>
    <x v="1"/>
    <s v="Less than 5 kgs"/>
    <x v="3"/>
    <d v="2024-10-04T00:00:00"/>
    <s v="N.A."/>
  </r>
  <r>
    <d v="2024-10-04T00:00:00"/>
    <s v="October-2024"/>
    <s v="V85748814"/>
    <x v="0"/>
    <x v="0"/>
    <n v="310"/>
    <s v="Kanpur"/>
    <x v="1"/>
    <s v="Less than 5 kgs"/>
    <x v="0"/>
    <d v="2024-10-05T00:00:00"/>
    <s v="N.A."/>
  </r>
  <r>
    <d v="2024-10-04T00:00:00"/>
    <s v="October-2024"/>
    <s v="V85748815"/>
    <x v="0"/>
    <x v="0"/>
    <n v="270"/>
    <s v="Kanpur"/>
    <x v="3"/>
    <s v="Less than 5 kgs"/>
    <x v="5"/>
    <d v="2024-10-05T00:00:00"/>
    <s v="N.A."/>
  </r>
  <r>
    <d v="2024-10-05T00:00:00"/>
    <s v="October-2024"/>
    <s v="D93994452"/>
    <x v="1"/>
    <x v="0"/>
    <n v="640"/>
    <s v="Kanpur"/>
    <x v="2"/>
    <s v="More than 5 kgs"/>
    <x v="1"/>
    <d v="2024-10-07T00:00:00"/>
    <s v="N.A."/>
  </r>
  <r>
    <d v="2024-10-05T00:00:00"/>
    <s v="October-2024"/>
    <s v="D93994453"/>
    <x v="1"/>
    <x v="0"/>
    <n v="1000"/>
    <s v="Kanpur"/>
    <x v="2"/>
    <s v="More than 5 kgs"/>
    <x v="6"/>
    <d v="2024-10-07T00:00:00"/>
    <s v="N.A."/>
  </r>
  <r>
    <d v="2024-10-05T00:00:00"/>
    <s v="October-2024"/>
    <s v="D93994454"/>
    <x v="1"/>
    <x v="0"/>
    <n v="1540"/>
    <s v="Kanpur"/>
    <x v="14"/>
    <s v="More than 5 kgs"/>
    <x v="2"/>
    <d v="2024-10-08T00:00:00"/>
    <s v="N.A."/>
  </r>
  <r>
    <d v="2024-10-05T00:00:00"/>
    <s v="October-2024"/>
    <s v="U32167743"/>
    <x v="1"/>
    <x v="0"/>
    <n v="110"/>
    <s v="Kanpur"/>
    <x v="15"/>
    <s v="Less than 5 kgs"/>
    <x v="0"/>
    <d v="2024-10-08T00:00:00"/>
    <s v="N.A."/>
  </r>
  <r>
    <d v="2024-10-05T00:00:00"/>
    <s v="October-2024"/>
    <s v="U32167744"/>
    <x v="1"/>
    <x v="0"/>
    <n v="210"/>
    <s v="Kanpur"/>
    <x v="16"/>
    <s v="Less than 5 kgs"/>
    <x v="0"/>
    <d v="2024-10-08T00:00:00"/>
    <s v="N.A."/>
  </r>
  <r>
    <d v="2024-10-05T00:00:00"/>
    <s v="October-2024"/>
    <s v="U32167745"/>
    <x v="1"/>
    <x v="0"/>
    <n v="150"/>
    <s v="Kanpur"/>
    <x v="17"/>
    <s v="Less than 5 kgs"/>
    <x v="2"/>
    <d v="2024-10-08T00:00:00"/>
    <s v="N.A."/>
  </r>
  <r>
    <d v="2024-10-05T00:00:00"/>
    <s v="October-2024"/>
    <s v="U32167746"/>
    <x v="1"/>
    <x v="0"/>
    <n v="350"/>
    <s v="Kanpur"/>
    <x v="18"/>
    <s v="Less than 5 kgs"/>
    <x v="2"/>
    <d v="2024-10-08T00:00:00"/>
    <s v="N.A."/>
  </r>
  <r>
    <d v="2024-10-05T00:00:00"/>
    <s v="October-2024"/>
    <s v="U32167747"/>
    <x v="1"/>
    <x v="0"/>
    <n v="120"/>
    <s v="Kanpur"/>
    <x v="4"/>
    <s v="Less than 5 kgs"/>
    <x v="7"/>
    <d v="2024-10-07T00:00:00"/>
    <s v="N.A."/>
  </r>
  <r>
    <d v="2024-10-05T00:00:00"/>
    <s v="October-2024"/>
    <s v="U32167748"/>
    <x v="1"/>
    <x v="0"/>
    <n v="90"/>
    <s v="Kanpur"/>
    <x v="4"/>
    <s v="Less than 5 kgs"/>
    <x v="0"/>
    <d v="2024-10-07T00:00:00"/>
    <s v="N.A."/>
  </r>
  <r>
    <d v="2024-10-05T00:00:00"/>
    <s v="October-2024"/>
    <s v="U32167749"/>
    <x v="1"/>
    <x v="0"/>
    <n v="110"/>
    <s v="Kanpur"/>
    <x v="1"/>
    <s v="Less than 5 kgs"/>
    <x v="0"/>
    <d v="2024-10-07T00:00:00"/>
    <s v="N.A."/>
  </r>
  <r>
    <d v="2024-10-05T00:00:00"/>
    <s v="October-2024"/>
    <s v="U32167750"/>
    <x v="1"/>
    <x v="0"/>
    <n v="150"/>
    <s v="Kanpur"/>
    <x v="4"/>
    <s v="Less than 5 kgs"/>
    <x v="0"/>
    <d v="2024-10-07T00:00:00"/>
    <s v="N.A."/>
  </r>
  <r>
    <d v="2024-10-05T00:00:00"/>
    <s v="October-2024"/>
    <s v="U32167751"/>
    <x v="1"/>
    <x v="0"/>
    <n v="210"/>
    <s v="Kanpur"/>
    <x v="19"/>
    <s v="Less than 5 kgs"/>
    <x v="8"/>
    <d v="2024-10-16T00:00:00"/>
    <s v="N.A."/>
  </r>
  <r>
    <d v="2024-10-05T00:00:00"/>
    <s v="October-2024"/>
    <s v="U32167752"/>
    <x v="1"/>
    <x v="0"/>
    <n v="170"/>
    <s v="Kanpur"/>
    <x v="9"/>
    <s v="Less than 5 kgs"/>
    <x v="0"/>
    <d v="2024-10-10T00:00:00"/>
    <s v="N.A."/>
  </r>
  <r>
    <d v="2024-10-05T00:00:00"/>
    <s v="October-2024"/>
    <s v="U32167753"/>
    <x v="1"/>
    <x v="0"/>
    <n v="170"/>
    <s v="Kanpur"/>
    <x v="9"/>
    <s v="Less than 5 kgs"/>
    <x v="0"/>
    <d v="2024-10-10T00:00:00"/>
    <s v="N.A."/>
  </r>
  <r>
    <d v="2024-10-05T00:00:00"/>
    <s v="October-2024"/>
    <s v="U32167754"/>
    <x v="1"/>
    <x v="0"/>
    <n v="170"/>
    <s v="Kanpur"/>
    <x v="9"/>
    <s v="Less than 5 kgs"/>
    <x v="0"/>
    <d v="2024-10-10T00:00:00"/>
    <s v="N.A."/>
  </r>
  <r>
    <d v="2024-10-05T00:00:00"/>
    <s v="October-2024"/>
    <s v="U32167755"/>
    <x v="1"/>
    <x v="0"/>
    <n v="140"/>
    <s v="Kanpur"/>
    <x v="9"/>
    <s v="Less than 5 kgs"/>
    <x v="0"/>
    <d v="2024-10-10T00:00:00"/>
    <s v="N.A."/>
  </r>
  <r>
    <d v="2024-10-05T00:00:00"/>
    <s v="October-2024"/>
    <s v="U32167756"/>
    <x v="1"/>
    <x v="0"/>
    <n v="140"/>
    <s v="Kanpur"/>
    <x v="9"/>
    <s v="Less than 5 kgs"/>
    <x v="0"/>
    <d v="2024-10-10T00:00:00"/>
    <s v="N.A."/>
  </r>
  <r>
    <d v="2024-10-05T00:00:00"/>
    <s v="October-2024"/>
    <s v="U32167757"/>
    <x v="1"/>
    <x v="0"/>
    <n v="140"/>
    <s v="Kanpur"/>
    <x v="9"/>
    <s v="Less than 5 kgs"/>
    <x v="0"/>
    <d v="2024-10-10T00:00:00"/>
    <s v="N.A."/>
  </r>
  <r>
    <d v="2024-10-05T00:00:00"/>
    <s v="October-2024"/>
    <s v="U32167758"/>
    <x v="1"/>
    <x v="0"/>
    <n v="140"/>
    <s v="Kanpur"/>
    <x v="9"/>
    <s v="Less than 5 kgs"/>
    <x v="0"/>
    <d v="2024-10-10T00:00:00"/>
    <s v="N.A."/>
  </r>
  <r>
    <d v="2024-10-05T00:00:00"/>
    <s v="October-2024"/>
    <s v="U32167759"/>
    <x v="1"/>
    <x v="0"/>
    <n v="120"/>
    <s v="Kanpur"/>
    <x v="3"/>
    <s v="Less than 5 kgs"/>
    <x v="0"/>
    <d v="2024-10-07T00:00:00"/>
    <s v="N.A."/>
  </r>
  <r>
    <d v="2024-10-05T00:00:00"/>
    <s v="October-2024"/>
    <s v="U32167760"/>
    <x v="1"/>
    <x v="0"/>
    <n v="120"/>
    <s v="Kanpur"/>
    <x v="3"/>
    <s v="Less than 5 kgs"/>
    <x v="0"/>
    <d v="2024-10-07T00:00:00"/>
    <s v="N.A."/>
  </r>
  <r>
    <d v="2024-10-05T00:00:00"/>
    <s v="October-2024"/>
    <s v="U32167761"/>
    <x v="1"/>
    <x v="0"/>
    <n v="140"/>
    <s v="Kanpur"/>
    <x v="7"/>
    <s v="Less than 5 kgs"/>
    <x v="0"/>
    <d v="2024-10-10T00:00:00"/>
    <s v="N.A."/>
  </r>
  <r>
    <d v="2024-10-05T00:00:00"/>
    <s v="October-2024"/>
    <s v="U32167762"/>
    <x v="1"/>
    <x v="0"/>
    <n v="70"/>
    <s v="Kanpur"/>
    <x v="4"/>
    <s v="Less than 5 kgs"/>
    <x v="0"/>
    <d v="2024-10-10T00:00:00"/>
    <s v="N.A."/>
  </r>
  <r>
    <d v="2024-10-05T00:00:00"/>
    <s v="October-2024"/>
    <s v="U32167763"/>
    <x v="1"/>
    <x v="0"/>
    <n v="70"/>
    <s v="Kanpur"/>
    <x v="4"/>
    <s v="Less than 5 kgs"/>
    <x v="0"/>
    <d v="2024-10-10T00:00:00"/>
    <s v="N.A."/>
  </r>
  <r>
    <d v="2024-10-05T00:00:00"/>
    <s v="October-2024"/>
    <s v="U32167764"/>
    <x v="1"/>
    <x v="0"/>
    <n v="70"/>
    <s v="Kanpur"/>
    <x v="4"/>
    <s v="Less than 5 kgs"/>
    <x v="0"/>
    <d v="2024-10-10T00:00:00"/>
    <s v="N.A."/>
  </r>
  <r>
    <d v="2024-10-05T00:00:00"/>
    <s v="October-2024"/>
    <s v="U32167765"/>
    <x v="1"/>
    <x v="0"/>
    <n v="70"/>
    <s v="Kanpur"/>
    <x v="4"/>
    <s v="Less than 5 kgs"/>
    <x v="0"/>
    <d v="2024-10-10T00:00:00"/>
    <s v="N.A."/>
  </r>
  <r>
    <d v="2024-10-05T00:00:00"/>
    <s v="October-2024"/>
    <s v="U32167766"/>
    <x v="1"/>
    <x v="0"/>
    <n v="90"/>
    <s v="Kanpur"/>
    <x v="4"/>
    <s v="Less than 5 kgs"/>
    <x v="0"/>
    <d v="2024-10-10T00:00:00"/>
    <s v="N.A."/>
  </r>
  <r>
    <d v="2024-10-05T00:00:00"/>
    <s v="October-2024"/>
    <s v="U32167767"/>
    <x v="1"/>
    <x v="0"/>
    <n v="90"/>
    <s v="Kanpur"/>
    <x v="4"/>
    <s v="Less than 5 kgs"/>
    <x v="0"/>
    <d v="2024-10-10T00:00:00"/>
    <s v="N.A."/>
  </r>
  <r>
    <d v="2024-10-05T00:00:00"/>
    <s v="October-2024"/>
    <s v="U32167768"/>
    <x v="1"/>
    <x v="0"/>
    <n v="90"/>
    <s v="Kanpur"/>
    <x v="4"/>
    <s v="Less than 5 kgs"/>
    <x v="0"/>
    <d v="2024-10-10T00:00:00"/>
    <s v="N.A."/>
  </r>
  <r>
    <d v="2024-10-05T00:00:00"/>
    <s v="October-2024"/>
    <s v="U32167769"/>
    <x v="1"/>
    <x v="0"/>
    <n v="140"/>
    <s v="Kanpur"/>
    <x v="4"/>
    <s v="Less than 5 kgs"/>
    <x v="0"/>
    <d v="2024-10-10T00:00:00"/>
    <s v="N.A."/>
  </r>
  <r>
    <d v="2024-10-05T00:00:00"/>
    <s v="October-2024"/>
    <s v="U32167770"/>
    <x v="1"/>
    <x v="0"/>
    <n v="70"/>
    <s v="Kanpur"/>
    <x v="4"/>
    <s v="Less than 5 kgs"/>
    <x v="0"/>
    <d v="2024-10-10T00:00:00"/>
    <s v="N.A."/>
  </r>
  <r>
    <d v="2024-10-05T00:00:00"/>
    <s v="October-2024"/>
    <s v="U32167771"/>
    <x v="1"/>
    <x v="0"/>
    <n v="70"/>
    <s v="Kanpur"/>
    <x v="4"/>
    <s v="Less than 5 kgs"/>
    <x v="0"/>
    <d v="2024-10-09T00:00:00"/>
    <s v="N.A."/>
  </r>
  <r>
    <d v="2024-10-05T00:00:00"/>
    <s v="October-2024"/>
    <s v="U32167772"/>
    <x v="1"/>
    <x v="0"/>
    <n v="90"/>
    <s v="Kanpur"/>
    <x v="4"/>
    <s v="Less than 5 kgs"/>
    <x v="0"/>
    <d v="2024-10-09T00:00:00"/>
    <s v="N.A."/>
  </r>
  <r>
    <d v="2024-10-05T00:00:00"/>
    <s v="October-2024"/>
    <s v="U32167773"/>
    <x v="1"/>
    <x v="0"/>
    <n v="120"/>
    <s v="Kanpur"/>
    <x v="4"/>
    <s v="Less than 5 kgs"/>
    <x v="0"/>
    <d v="2024-10-09T00:00:00"/>
    <s v="N.A."/>
  </r>
  <r>
    <d v="2024-10-05T00:00:00"/>
    <s v="October-2024"/>
    <s v="V85748816"/>
    <x v="0"/>
    <x v="0"/>
    <n v="970"/>
    <s v="Kanpur"/>
    <x v="20"/>
    <s v="Less than 5 kgs"/>
    <x v="9"/>
    <d v="2024-10-09T00:00:00"/>
    <s v="N.A."/>
  </r>
  <r>
    <d v="2024-10-06T00:00:00"/>
    <s v="October-2024"/>
    <s v="U32167774"/>
    <x v="1"/>
    <x v="0"/>
    <n v="170"/>
    <s v="Kanpur"/>
    <x v="7"/>
    <s v="Less than 5 kgs"/>
    <x v="0"/>
    <d v="2024-10-10T00:00:00"/>
    <s v="N.A."/>
  </r>
  <r>
    <d v="2024-10-06T00:00:00"/>
    <s v="October-2024"/>
    <s v="U32167775"/>
    <x v="1"/>
    <x v="0"/>
    <n v="90"/>
    <s v="Kanpur"/>
    <x v="1"/>
    <s v="Less than 5 kgs"/>
    <x v="0"/>
    <d v="2024-10-08T00:00:00"/>
    <s v="N.A."/>
  </r>
  <r>
    <d v="2024-10-07T00:00:00"/>
    <s v="October-2024"/>
    <s v="D93994455"/>
    <x v="1"/>
    <x v="0"/>
    <n v="840"/>
    <s v="Kanpur"/>
    <x v="21"/>
    <s v="More than 5 kgs"/>
    <x v="10"/>
    <d v="2024-10-10T00:00:00"/>
    <s v="N.A."/>
  </r>
  <r>
    <d v="2024-10-07T00:00:00"/>
    <s v="October-2024"/>
    <s v="U32167776"/>
    <x v="1"/>
    <x v="0"/>
    <n v="90"/>
    <s v="Kanpur"/>
    <x v="22"/>
    <s v="Less than 5 kgs"/>
    <x v="11"/>
    <d v="2024-10-08T00:00:00"/>
    <s v="N.A."/>
  </r>
  <r>
    <d v="2024-10-07T00:00:00"/>
    <s v="October-2024"/>
    <s v="U32167777"/>
    <x v="1"/>
    <x v="0"/>
    <n v="350"/>
    <s v="Kanpur"/>
    <x v="1"/>
    <s v="Less than 5 kgs"/>
    <x v="0"/>
    <d v="2024-10-09T00:00:00"/>
    <s v="N.A."/>
  </r>
  <r>
    <d v="2024-10-07T00:00:00"/>
    <s v="October-2024"/>
    <s v="U32167778"/>
    <x v="1"/>
    <x v="0"/>
    <n v="90"/>
    <s v="Kanpur"/>
    <x v="4"/>
    <s v="Less than 5 kgs"/>
    <x v="12"/>
    <d v="2024-10-09T00:00:00"/>
    <s v="N.A."/>
  </r>
  <r>
    <d v="2024-10-07T00:00:00"/>
    <s v="October-2024"/>
    <s v="U32167779"/>
    <x v="1"/>
    <x v="0"/>
    <n v="320"/>
    <s v="Kanpur"/>
    <x v="7"/>
    <s v="Less than 5 kgs"/>
    <x v="0"/>
    <d v="2024-10-10T00:00:00"/>
    <s v="N.A."/>
  </r>
  <r>
    <d v="2024-10-07T00:00:00"/>
    <s v="October-2024"/>
    <s v="U32167780"/>
    <x v="1"/>
    <x v="0"/>
    <n v="150"/>
    <s v="Kanpur"/>
    <x v="7"/>
    <s v="Less than 5 kgs"/>
    <x v="0"/>
    <d v="2024-10-10T00:00:00"/>
    <s v="N.A."/>
  </r>
  <r>
    <d v="2024-10-07T00:00:00"/>
    <s v="October-2024"/>
    <s v="U32167781"/>
    <x v="1"/>
    <x v="0"/>
    <n v="90"/>
    <s v="Kanpur"/>
    <x v="4"/>
    <s v="Less than 5 kgs"/>
    <x v="0"/>
    <d v="2024-10-09T00:00:00"/>
    <s v="N.A."/>
  </r>
  <r>
    <d v="2024-10-07T00:00:00"/>
    <s v="October-2024"/>
    <s v="U32167782"/>
    <x v="1"/>
    <x v="0"/>
    <n v="140"/>
    <s v="Kanpur"/>
    <x v="16"/>
    <s v="Less than 5 kgs"/>
    <x v="0"/>
    <d v="2024-10-14T00:00:00"/>
    <s v="N.A."/>
  </r>
  <r>
    <d v="2024-10-07T00:00:00"/>
    <s v="October-2024"/>
    <s v="U32167783"/>
    <x v="1"/>
    <x v="0"/>
    <n v="90"/>
    <s v="Kanpur"/>
    <x v="3"/>
    <s v="Less than 5 kgs"/>
    <x v="0"/>
    <d v="2024-10-09T00:00:00"/>
    <s v="N.A."/>
  </r>
  <r>
    <d v="2024-10-07T00:00:00"/>
    <s v="October-2024"/>
    <s v="U32167784"/>
    <x v="1"/>
    <x v="0"/>
    <n v="90"/>
    <s v="Kanpur"/>
    <x v="1"/>
    <s v="Less than 5 kgs"/>
    <x v="0"/>
    <d v="2024-10-09T00:00:00"/>
    <s v="N.A."/>
  </r>
  <r>
    <d v="2024-10-07T00:00:00"/>
    <s v="October-2024"/>
    <s v="U32167785"/>
    <x v="1"/>
    <x v="0"/>
    <n v="90"/>
    <s v="Kanpur"/>
    <x v="1"/>
    <s v="Less than 5 kgs"/>
    <x v="0"/>
    <d v="2024-10-09T00:00:00"/>
    <s v="N.A."/>
  </r>
  <r>
    <d v="2024-10-07T00:00:00"/>
    <s v="October-2024"/>
    <s v="U32167786"/>
    <x v="1"/>
    <x v="0"/>
    <n v="140"/>
    <s v="Kanpur"/>
    <x v="10"/>
    <s v="Less than 5 kgs"/>
    <x v="0"/>
    <d v="2024-10-10T00:00:00"/>
    <s v="N.A."/>
  </r>
  <r>
    <d v="2024-10-07T00:00:00"/>
    <s v="October-2024"/>
    <s v="U32167787"/>
    <x v="1"/>
    <x v="0"/>
    <n v="90"/>
    <s v="Kanpur"/>
    <x v="23"/>
    <s v="Less than 5 kgs"/>
    <x v="0"/>
    <d v="2024-10-09T00:00:00"/>
    <s v="N.A."/>
  </r>
  <r>
    <d v="2024-10-07T00:00:00"/>
    <s v="October-2024"/>
    <s v="U32167788"/>
    <x v="1"/>
    <x v="0"/>
    <n v="100"/>
    <s v="Kanpur"/>
    <x v="4"/>
    <s v="Less than 5 kgs"/>
    <x v="0"/>
    <d v="2024-10-09T00:00:00"/>
    <s v="N.A."/>
  </r>
  <r>
    <d v="2024-10-07T00:00:00"/>
    <s v="October-2024"/>
    <s v="U32167789"/>
    <x v="1"/>
    <x v="0"/>
    <n v="120"/>
    <s v="Kanpur"/>
    <x v="23"/>
    <s v="Less than 5 kgs"/>
    <x v="0"/>
    <d v="2024-10-09T00:00:00"/>
    <s v="N.A."/>
  </r>
  <r>
    <d v="2024-10-07T00:00:00"/>
    <s v="October-2024"/>
    <s v="U32167790"/>
    <x v="1"/>
    <x v="0"/>
    <n v="90"/>
    <s v="Kanpur"/>
    <x v="23"/>
    <s v="Less than 5 kgs"/>
    <x v="0"/>
    <d v="2024-10-09T00:00:00"/>
    <s v="N.A."/>
  </r>
  <r>
    <d v="2024-10-07T00:00:00"/>
    <s v="October-2024"/>
    <s v="U32167791"/>
    <x v="1"/>
    <x v="0"/>
    <n v="140"/>
    <s v="Kanpur"/>
    <x v="16"/>
    <s v="Less than 5 kgs"/>
    <x v="0"/>
    <d v="2024-10-14T00:00:00"/>
    <s v="N.A."/>
  </r>
  <r>
    <d v="2024-10-07T00:00:00"/>
    <s v="October-2024"/>
    <s v="U32167792"/>
    <x v="1"/>
    <x v="0"/>
    <n v="90"/>
    <s v="Kanpur"/>
    <x v="3"/>
    <s v="Less than 5 kgs"/>
    <x v="0"/>
    <d v="2024-10-09T00:00:00"/>
    <s v="N.A."/>
  </r>
  <r>
    <d v="2024-10-07T00:00:00"/>
    <s v="October-2024"/>
    <s v="U32167793"/>
    <x v="1"/>
    <x v="0"/>
    <n v="90"/>
    <s v="Kanpur"/>
    <x v="3"/>
    <s v="Less than 5 kgs"/>
    <x v="0"/>
    <d v="2024-10-09T00:00:00"/>
    <s v="N.A."/>
  </r>
  <r>
    <d v="2024-10-07T00:00:00"/>
    <s v="October-2024"/>
    <s v="V85748817"/>
    <x v="0"/>
    <x v="0"/>
    <n v="390"/>
    <s v="Kanpur"/>
    <x v="24"/>
    <s v="Less than 5 kgs"/>
    <x v="5"/>
    <d v="2024-10-11T00:00:00"/>
    <s v="N.A."/>
  </r>
  <r>
    <d v="2024-10-07T00:00:00"/>
    <s v="October-2024"/>
    <s v="V85748818"/>
    <x v="0"/>
    <x v="0"/>
    <n v="855"/>
    <s v="Kanpur"/>
    <x v="1"/>
    <s v="Less than 5 kgs"/>
    <x v="1"/>
    <d v="2024-10-08T00:00:00"/>
    <s v="N.A."/>
  </r>
  <r>
    <d v="2024-10-07T00:00:00"/>
    <s v="October-2024"/>
    <s v="V85748819"/>
    <x v="0"/>
    <x v="0"/>
    <n v="1250"/>
    <s v="Kanpur"/>
    <x v="25"/>
    <s v="Less than 5 kgs"/>
    <x v="2"/>
    <d v="2024-10-09T00:00:00"/>
    <s v="N.A."/>
  </r>
  <r>
    <d v="2024-10-07T00:00:00"/>
    <s v="October-2024"/>
    <s v="V85940501"/>
    <x v="0"/>
    <x v="0"/>
    <n v="310"/>
    <s v="Kanpur"/>
    <x v="1"/>
    <s v="Less than 5 kgs"/>
    <x v="0"/>
    <d v="2024-10-08T00:00:00"/>
    <s v="N.A."/>
  </r>
  <r>
    <d v="2024-10-07T00:00:00"/>
    <s v="October-2024"/>
    <s v="V85940502"/>
    <x v="0"/>
    <x v="0"/>
    <n v="350"/>
    <s v="Kanpur"/>
    <x v="26"/>
    <s v="Less than 5 kgs"/>
    <x v="5"/>
    <d v="2024-10-10T00:00:00"/>
    <s v="N.A."/>
  </r>
  <r>
    <d v="2024-10-08T00:00:00"/>
    <s v="October-2024"/>
    <s v="U32167794"/>
    <x v="1"/>
    <x v="0"/>
    <n v="110"/>
    <s v="Kanpur"/>
    <x v="2"/>
    <s v="Less than 5 kgs"/>
    <x v="2"/>
    <d v="2024-10-10T00:00:00"/>
    <s v="N.A."/>
  </r>
  <r>
    <d v="2024-10-08T00:00:00"/>
    <s v="October-2024"/>
    <s v="U32167795"/>
    <x v="1"/>
    <x v="0"/>
    <n v="90"/>
    <s v="Kanpur"/>
    <x v="27"/>
    <s v="Less than 5 kgs"/>
    <x v="0"/>
    <d v="2024-10-09T00:00:00"/>
    <s v="N.A."/>
  </r>
  <r>
    <d v="2024-10-08T00:00:00"/>
    <s v="October-2024"/>
    <s v="U32167796"/>
    <x v="1"/>
    <x v="0"/>
    <n v="150"/>
    <s v="Kanpur"/>
    <x v="28"/>
    <s v="Less than 5 kgs"/>
    <x v="0"/>
    <d v="2024-10-09T00:00:00"/>
    <s v="N.A."/>
  </r>
  <r>
    <d v="2024-10-08T00:00:00"/>
    <s v="October-2024"/>
    <s v="U32167797"/>
    <x v="1"/>
    <x v="0"/>
    <n v="210"/>
    <s v="Kanpur"/>
    <x v="29"/>
    <s v="Less than 5 kgs"/>
    <x v="13"/>
    <d v="2024-10-11T00:00:00"/>
    <s v="N.A."/>
  </r>
  <r>
    <d v="2024-10-08T00:00:00"/>
    <s v="October-2024"/>
    <s v="U32167798"/>
    <x v="1"/>
    <x v="0"/>
    <n v="150"/>
    <s v="Kanpur"/>
    <x v="0"/>
    <s v="Less than 5 kgs"/>
    <x v="0"/>
    <d v="2024-10-10T00:00:00"/>
    <s v="N.A."/>
  </r>
  <r>
    <d v="2024-10-08T00:00:00"/>
    <s v="October-2024"/>
    <s v="U32167799"/>
    <x v="1"/>
    <x v="0"/>
    <n v="120"/>
    <s v="Kanpur"/>
    <x v="30"/>
    <s v="Less than 5 kgs"/>
    <x v="0"/>
    <d v="2024-10-10T00:00:00"/>
    <s v="N.A."/>
  </r>
  <r>
    <d v="2024-10-08T00:00:00"/>
    <s v="October-2024"/>
    <s v="U32593900"/>
    <x v="1"/>
    <x v="0"/>
    <n v="480"/>
    <s v="Kanpur"/>
    <x v="31"/>
    <s v="Less than 5 kgs"/>
    <x v="0"/>
    <d v="2024-10-14T00:00:00"/>
    <s v="N.A."/>
  </r>
  <r>
    <d v="2024-10-08T00:00:00"/>
    <s v="October-2024"/>
    <s v="U32593901"/>
    <x v="1"/>
    <x v="0"/>
    <n v="90"/>
    <s v="Kanpur"/>
    <x v="4"/>
    <s v="Less than 5 kgs"/>
    <x v="0"/>
    <d v="2024-10-11T00:00:00"/>
    <s v="N.A."/>
  </r>
  <r>
    <d v="2024-10-09T00:00:00"/>
    <s v="October-2024"/>
    <s v="U32593902"/>
    <x v="1"/>
    <x v="0"/>
    <n v="140"/>
    <s v="Kanpur"/>
    <x v="1"/>
    <s v="Less than 5 kgs"/>
    <x v="0"/>
    <d v="2024-10-11T00:00:00"/>
    <s v="N.A."/>
  </r>
  <r>
    <d v="2024-10-09T00:00:00"/>
    <s v="October-2024"/>
    <s v="U32593903"/>
    <x v="1"/>
    <x v="0"/>
    <n v="150"/>
    <s v="Kanpur"/>
    <x v="12"/>
    <s v="Less than 5 kgs"/>
    <x v="0"/>
    <d v="2024-10-10T00:00:00"/>
    <s v="N.A."/>
  </r>
  <r>
    <d v="2024-10-09T00:00:00"/>
    <s v="October-2024"/>
    <s v="U32593904"/>
    <x v="1"/>
    <x v="0"/>
    <n v="140"/>
    <s v="Kanpur"/>
    <x v="0"/>
    <s v="Less than 5 kgs"/>
    <x v="0"/>
    <d v="2024-10-11T00:00:00"/>
    <s v="N.A."/>
  </r>
  <r>
    <d v="2024-10-09T00:00:00"/>
    <s v="October-2024"/>
    <s v="U32593905"/>
    <x v="1"/>
    <x v="0"/>
    <n v="140"/>
    <s v="Kanpur"/>
    <x v="0"/>
    <s v="Less than 5 kgs"/>
    <x v="0"/>
    <d v="2024-10-11T00:00:00"/>
    <s v="N.A."/>
  </r>
  <r>
    <d v="2024-10-09T00:00:00"/>
    <s v="October-2024"/>
    <s v="U32593906"/>
    <x v="1"/>
    <x v="0"/>
    <n v="170"/>
    <s v="Kanpur"/>
    <x v="9"/>
    <s v="Less than 5 kgs"/>
    <x v="0"/>
    <d v="2024-10-14T00:00:00"/>
    <s v="N.A."/>
  </r>
  <r>
    <d v="2024-10-09T00:00:00"/>
    <s v="October-2024"/>
    <s v="U32593907"/>
    <x v="1"/>
    <x v="0"/>
    <n v="300"/>
    <s v="Kanpur"/>
    <x v="3"/>
    <s v="Less than 5 kgs"/>
    <x v="0"/>
    <d v="2024-10-11T00:00:00"/>
    <s v="N.A."/>
  </r>
  <r>
    <d v="2024-10-09T00:00:00"/>
    <s v="October-2024"/>
    <s v="U32593908"/>
    <x v="1"/>
    <x v="0"/>
    <n v="210"/>
    <s v="Kanpur"/>
    <x v="15"/>
    <s v="Less than 5 kgs"/>
    <x v="0"/>
    <d v="2024-10-11T00:00:00"/>
    <s v="N.A."/>
  </r>
  <r>
    <d v="2024-10-09T00:00:00"/>
    <s v="October-2024"/>
    <s v="U32593909"/>
    <x v="1"/>
    <x v="0"/>
    <n v="110"/>
    <s v="Kanpur"/>
    <x v="32"/>
    <s v="Less than 5 kgs"/>
    <x v="0"/>
    <d v="2024-10-13T00:00:00"/>
    <s v="N.A."/>
  </r>
  <r>
    <d v="2024-10-09T00:00:00"/>
    <s v="October-2024"/>
    <s v="U32593910"/>
    <x v="1"/>
    <x v="0"/>
    <n v="110"/>
    <s v="Kanpur"/>
    <x v="33"/>
    <s v="Less than 5 kgs"/>
    <x v="0"/>
    <d v="2024-10-10T00:00:00"/>
    <s v="N.A."/>
  </r>
  <r>
    <d v="2024-10-09T00:00:00"/>
    <s v="October-2024"/>
    <s v="U32593911"/>
    <x v="1"/>
    <x v="0"/>
    <n v="140"/>
    <s v="Kanpur"/>
    <x v="33"/>
    <s v="Less than 5 kgs"/>
    <x v="0"/>
    <d v="2024-10-10T00:00:00"/>
    <s v="N.A."/>
  </r>
  <r>
    <d v="2024-10-09T00:00:00"/>
    <s v="October-2024"/>
    <s v="U32593912"/>
    <x v="1"/>
    <x v="0"/>
    <n v="150"/>
    <s v="Kanpur"/>
    <x v="33"/>
    <s v="Less than 5 kgs"/>
    <x v="0"/>
    <d v="2024-10-10T00:00:00"/>
    <s v="N.A."/>
  </r>
  <r>
    <d v="2024-10-09T00:00:00"/>
    <s v="October-2024"/>
    <s v="U32593913"/>
    <x v="1"/>
    <x v="0"/>
    <n v="110"/>
    <s v="Kanpur"/>
    <x v="1"/>
    <s v="Less than 5 kgs"/>
    <x v="0"/>
    <d v="2024-10-11T00:00:00"/>
    <s v="N.A."/>
  </r>
  <r>
    <d v="2024-10-09T00:00:00"/>
    <s v="October-2024"/>
    <s v="U32593914"/>
    <x v="1"/>
    <x v="0"/>
    <n v="150"/>
    <s v="Kanpur"/>
    <x v="34"/>
    <s v="Less than 5 kgs"/>
    <x v="0"/>
    <d v="2024-10-15T00:00:00"/>
    <s v="N.A."/>
  </r>
  <r>
    <d v="2024-10-09T00:00:00"/>
    <s v="October-2024"/>
    <s v="V85940503"/>
    <x v="0"/>
    <x v="0"/>
    <n v="390"/>
    <s v="Kanpur"/>
    <x v="35"/>
    <s v="Less than 5 kgs"/>
    <x v="14"/>
    <d v="2024-10-14T00:00:00"/>
    <s v="N.A."/>
  </r>
  <r>
    <d v="2024-10-10T00:00:00"/>
    <s v="October-2024"/>
    <s v="U32593915"/>
    <x v="1"/>
    <x v="0"/>
    <n v="370"/>
    <s v="Kanpur"/>
    <x v="29"/>
    <s v="Less than 5 kgs"/>
    <x v="2"/>
    <d v="2024-10-14T00:00:00"/>
    <s v="N.A."/>
  </r>
  <r>
    <d v="2024-10-10T00:00:00"/>
    <s v="October-2024"/>
    <s v="U32593916"/>
    <x v="1"/>
    <x v="0"/>
    <n v="480"/>
    <s v="Kanpur"/>
    <x v="10"/>
    <s v="Less than 5 kgs"/>
    <x v="0"/>
    <d v="2024-10-13T00:00:00"/>
    <s v="N.A."/>
  </r>
  <r>
    <d v="2024-10-10T00:00:00"/>
    <s v="October-2024"/>
    <s v="U32593917"/>
    <x v="1"/>
    <x v="0"/>
    <n v="90"/>
    <s v="Kanpur"/>
    <x v="4"/>
    <s v="Less than 5 kgs"/>
    <x v="0"/>
    <d v="2024-10-14T00:00:00"/>
    <s v="N.A."/>
  </r>
  <r>
    <d v="2024-10-10T00:00:00"/>
    <s v="October-2024"/>
    <s v="U32593918"/>
    <x v="1"/>
    <x v="0"/>
    <n v="540"/>
    <s v="Kanpur"/>
    <x v="36"/>
    <s v="Less than 5 kgs"/>
    <x v="0"/>
    <d v="2024-10-14T00:00:00"/>
    <s v="N.A."/>
  </r>
  <r>
    <d v="2024-10-10T00:00:00"/>
    <s v="October-2024"/>
    <s v="U32593919"/>
    <x v="1"/>
    <x v="0"/>
    <n v="240"/>
    <s v="Kanpur"/>
    <x v="37"/>
    <s v="Less than 5 kgs"/>
    <x v="0"/>
    <d v="2024-10-15T00:00:00"/>
    <s v="N.A."/>
  </r>
  <r>
    <d v="2024-10-11T00:00:00"/>
    <s v="October-2024"/>
    <s v="D93994456"/>
    <x v="1"/>
    <x v="0"/>
    <n v="670"/>
    <s v="Kanpur"/>
    <x v="9"/>
    <s v="More than 5 kgs"/>
    <x v="0"/>
    <d v="2024-10-17T00:00:00"/>
    <s v="N.A."/>
  </r>
  <r>
    <d v="2024-10-11T00:00:00"/>
    <s v="October-2024"/>
    <s v="V85940504"/>
    <x v="0"/>
    <x v="0"/>
    <n v="250"/>
    <s v="Kanpur"/>
    <x v="12"/>
    <s v="Less than 5 kgs"/>
    <x v="0"/>
    <d v="2024-10-14T00:00:00"/>
    <s v="N.A."/>
  </r>
  <r>
    <d v="2024-10-12T00:00:00"/>
    <s v="October-2024"/>
    <s v="D93994457"/>
    <x v="1"/>
    <x v="0"/>
    <n v="610"/>
    <s v="Kanpur"/>
    <x v="1"/>
    <s v="More than 5 kgs"/>
    <x v="0"/>
    <d v="2024-10-14T00:00:00"/>
    <s v="N.A."/>
  </r>
  <r>
    <d v="2024-10-12T00:00:00"/>
    <s v="October-2024"/>
    <s v="D93994458"/>
    <x v="1"/>
    <x v="0"/>
    <n v="710"/>
    <s v="Kanpur"/>
    <x v="38"/>
    <s v="More than 5 kgs"/>
    <x v="0"/>
    <d v="2024-10-18T00:00:00"/>
    <s v="N.A."/>
  </r>
  <r>
    <d v="2024-10-12T00:00:00"/>
    <s v="October-2024"/>
    <s v="U32593938"/>
    <x v="1"/>
    <x v="0"/>
    <n v="140"/>
    <s v="Kanpur"/>
    <x v="39"/>
    <s v="Less than 5 kgs"/>
    <x v="0"/>
    <d v="2024-10-14T00:00:00"/>
    <s v="N.A."/>
  </r>
  <r>
    <d v="2024-10-12T00:00:00"/>
    <s v="October-2024"/>
    <s v="U32593939"/>
    <x v="1"/>
    <x v="0"/>
    <n v="130"/>
    <s v="Kanpur"/>
    <x v="2"/>
    <s v="Less than 5 kgs"/>
    <x v="0"/>
    <d v="2024-10-15T00:00:00"/>
    <s v="N.A."/>
  </r>
  <r>
    <d v="2024-10-12T00:00:00"/>
    <s v="October-2024"/>
    <s v="V85940505"/>
    <x v="0"/>
    <x v="0"/>
    <n v="370"/>
    <s v="Kanpur"/>
    <x v="1"/>
    <s v="Less than 5 kgs"/>
    <x v="0"/>
    <d v="2024-10-14T00:00:00"/>
    <s v="N.A."/>
  </r>
  <r>
    <d v="2024-10-13T00:00:00"/>
    <s v="October-2024"/>
    <s v="U32593948"/>
    <x v="1"/>
    <x v="0"/>
    <n v="170"/>
    <s v="Kanpur"/>
    <x v="9"/>
    <s v="Less than 5 kgs"/>
    <x v="0"/>
    <d v="2024-10-16T00:00:00"/>
    <s v="N.A."/>
  </r>
  <r>
    <d v="2024-10-14T00:00:00"/>
    <s v="October-2024"/>
    <s v="U32593949"/>
    <x v="1"/>
    <x v="0"/>
    <n v="140"/>
    <s v="Kanpur"/>
    <x v="9"/>
    <s v="Less than 5 kgs"/>
    <x v="0"/>
    <d v="2024-10-16T00:00:00"/>
    <s v="N.A."/>
  </r>
  <r>
    <d v="2024-10-14T00:00:00"/>
    <s v="October-2024"/>
    <s v="U32593950"/>
    <x v="1"/>
    <x v="0"/>
    <n v="140"/>
    <s v="Kanpur"/>
    <x v="9"/>
    <s v="Less than 5 kgs"/>
    <x v="0"/>
    <d v="2024-10-16T00:00:00"/>
    <s v="N.A."/>
  </r>
  <r>
    <d v="2024-10-14T00:00:00"/>
    <s v="October-2024"/>
    <s v="U32593951"/>
    <x v="1"/>
    <x v="0"/>
    <n v="170"/>
    <s v="Kanpur"/>
    <x v="9"/>
    <s v="Less than 5 kgs"/>
    <x v="0"/>
    <d v="2024-10-16T00:00:00"/>
    <s v="N.A."/>
  </r>
  <r>
    <d v="2024-10-14T00:00:00"/>
    <s v="October-2024"/>
    <s v="U32593952"/>
    <x v="1"/>
    <x v="0"/>
    <n v="70"/>
    <s v="Kanpur"/>
    <x v="4"/>
    <s v="Less than 5 kgs"/>
    <x v="0"/>
    <d v="2024-10-15T00:00:00"/>
    <s v="N.A."/>
  </r>
  <r>
    <d v="2024-10-14T00:00:00"/>
    <s v="October-2024"/>
    <s v="U32593953"/>
    <x v="1"/>
    <x v="0"/>
    <n v="70"/>
    <s v="Kanpur"/>
    <x v="4"/>
    <s v="Less than 5 kgs"/>
    <x v="0"/>
    <d v="2024-10-15T00:00:00"/>
    <s v="N.A."/>
  </r>
  <r>
    <d v="2024-10-14T00:00:00"/>
    <s v="October-2024"/>
    <s v="U32593954"/>
    <x v="1"/>
    <x v="0"/>
    <n v="70"/>
    <s v="Kanpur"/>
    <x v="4"/>
    <s v="Less than 5 kgs"/>
    <x v="0"/>
    <d v="2024-10-15T00:00:00"/>
    <s v="N.A."/>
  </r>
  <r>
    <d v="2024-10-14T00:00:00"/>
    <s v="October-2024"/>
    <s v="U32593955"/>
    <x v="1"/>
    <x v="0"/>
    <n v="90"/>
    <s v="Kanpur"/>
    <x v="4"/>
    <s v="Less than 5 kgs"/>
    <x v="0"/>
    <d v="2024-10-15T00:00:00"/>
    <s v="N.A."/>
  </r>
  <r>
    <d v="2024-10-14T00:00:00"/>
    <s v="October-2024"/>
    <s v="U32593956"/>
    <x v="1"/>
    <x v="0"/>
    <n v="70"/>
    <s v="Kanpur"/>
    <x v="4"/>
    <s v="Less than 5 kgs"/>
    <x v="0"/>
    <d v="2024-10-15T00:00:00"/>
    <s v="N.A."/>
  </r>
  <r>
    <d v="2024-10-14T00:00:00"/>
    <s v="October-2024"/>
    <s v="U32593957"/>
    <x v="1"/>
    <x v="0"/>
    <n v="90"/>
    <s v="Kanpur"/>
    <x v="4"/>
    <s v="Less than 5 kgs"/>
    <x v="0"/>
    <d v="2024-10-15T00:00:00"/>
    <s v="N.A."/>
  </r>
  <r>
    <d v="2024-10-14T00:00:00"/>
    <s v="October-2024"/>
    <s v="U32593958"/>
    <x v="1"/>
    <x v="0"/>
    <n v="90"/>
    <s v="Kanpur"/>
    <x v="4"/>
    <s v="Less than 5 kgs"/>
    <x v="0"/>
    <d v="2024-10-15T00:00:00"/>
    <s v="N.A."/>
  </r>
  <r>
    <d v="2024-10-14T00:00:00"/>
    <s v="October-2024"/>
    <s v="U32593959"/>
    <x v="1"/>
    <x v="0"/>
    <n v="90"/>
    <s v="Kanpur"/>
    <x v="4"/>
    <s v="Less than 5 kgs"/>
    <x v="0"/>
    <d v="2024-10-15T00:00:00"/>
    <s v="N.A."/>
  </r>
  <r>
    <d v="2024-10-14T00:00:00"/>
    <s v="October-2024"/>
    <s v="U32593960"/>
    <x v="1"/>
    <x v="0"/>
    <n v="90"/>
    <s v="Kanpur"/>
    <x v="4"/>
    <s v="Less than 5 kgs"/>
    <x v="0"/>
    <d v="2024-10-15T00:00:00"/>
    <s v="N.A."/>
  </r>
  <r>
    <d v="2024-10-14T00:00:00"/>
    <s v="October-2024"/>
    <s v="U32593961"/>
    <x v="1"/>
    <x v="0"/>
    <n v="90"/>
    <s v="Kanpur"/>
    <x v="4"/>
    <s v="Less than 5 kgs"/>
    <x v="0"/>
    <d v="2024-10-15T00:00:00"/>
    <s v="N.A."/>
  </r>
  <r>
    <d v="2024-10-14T00:00:00"/>
    <s v="October-2024"/>
    <s v="U32593962"/>
    <x v="1"/>
    <x v="0"/>
    <n v="110"/>
    <s v="Kanpur"/>
    <x v="1"/>
    <s v="Less than 5 kgs"/>
    <x v="0"/>
    <d v="2024-10-15T00:00:00"/>
    <s v="N.A."/>
  </r>
  <r>
    <d v="2024-10-14T00:00:00"/>
    <s v="October-2024"/>
    <s v="U32593963"/>
    <x v="1"/>
    <x v="0"/>
    <n v="90"/>
    <s v="Kanpur"/>
    <x v="4"/>
    <s v="Less than 5 kgs"/>
    <x v="0"/>
    <d v="2024-10-15T00:00:00"/>
    <s v="N.A."/>
  </r>
  <r>
    <d v="2024-10-14T00:00:00"/>
    <s v="October-2024"/>
    <s v="U32593964"/>
    <x v="1"/>
    <x v="0"/>
    <n v="70"/>
    <s v="Kanpur"/>
    <x v="4"/>
    <s v="Less than 5 kgs"/>
    <x v="0"/>
    <d v="2024-10-15T00:00:00"/>
    <s v="N.A."/>
  </r>
  <r>
    <d v="2024-10-14T00:00:00"/>
    <s v="October-2024"/>
    <s v="U32593965"/>
    <x v="1"/>
    <x v="0"/>
    <n v="90"/>
    <s v="Kanpur"/>
    <x v="4"/>
    <s v="Less than 5 kgs"/>
    <x v="0"/>
    <d v="2024-10-15T00:00:00"/>
    <s v="N.A."/>
  </r>
  <r>
    <d v="2024-10-14T00:00:00"/>
    <s v="October-2024"/>
    <s v="U32593966"/>
    <x v="1"/>
    <x v="0"/>
    <n v="90"/>
    <s v="Kanpur"/>
    <x v="4"/>
    <s v="Less than 5 kgs"/>
    <x v="0"/>
    <d v="2024-10-15T00:00:00"/>
    <s v="N.A."/>
  </r>
  <r>
    <d v="2024-10-14T00:00:00"/>
    <s v="October-2024"/>
    <s v="U32593967"/>
    <x v="1"/>
    <x v="0"/>
    <n v="90"/>
    <s v="Kanpur"/>
    <x v="4"/>
    <s v="Less than 5 kgs"/>
    <x v="0"/>
    <d v="2024-10-15T00:00:00"/>
    <s v="N.A."/>
  </r>
  <r>
    <d v="2024-10-14T00:00:00"/>
    <s v="October-2024"/>
    <s v="U32593968"/>
    <x v="1"/>
    <x v="0"/>
    <n v="90"/>
    <s v="Kanpur"/>
    <x v="4"/>
    <s v="Less than 5 kgs"/>
    <x v="0"/>
    <d v="2024-10-15T00:00:00"/>
    <s v="N.A."/>
  </r>
  <r>
    <d v="2024-10-14T00:00:00"/>
    <s v="October-2024"/>
    <s v="U32593969"/>
    <x v="1"/>
    <x v="0"/>
    <n v="70"/>
    <s v="Kanpur"/>
    <x v="3"/>
    <s v="Less than 5 kgs"/>
    <x v="0"/>
    <d v="2024-10-15T00:00:00"/>
    <s v="N.A."/>
  </r>
  <r>
    <d v="2024-10-14T00:00:00"/>
    <s v="October-2024"/>
    <s v="U32593970"/>
    <x v="1"/>
    <x v="0"/>
    <n v="90"/>
    <s v="Kanpur"/>
    <x v="1"/>
    <s v="Less than 5 kgs"/>
    <x v="0"/>
    <d v="2024-10-16T00:00:00"/>
    <s v="N.A."/>
  </r>
  <r>
    <d v="2024-10-14T00:00:00"/>
    <s v="October-2024"/>
    <s v="U32593971"/>
    <x v="1"/>
    <x v="0"/>
    <n v="70"/>
    <s v="Kanpur"/>
    <x v="4"/>
    <s v="Less than 5 kgs"/>
    <x v="0"/>
    <d v="2024-10-15T00:00:00"/>
    <s v="N.A."/>
  </r>
  <r>
    <d v="2024-10-14T00:00:00"/>
    <s v="October-2024"/>
    <s v="U32593972"/>
    <x v="1"/>
    <x v="0"/>
    <n v="70"/>
    <s v="Kanpur"/>
    <x v="4"/>
    <s v="Less than 5 kgs"/>
    <x v="0"/>
    <d v="2024-10-15T00:00:00"/>
    <s v="N.A."/>
  </r>
  <r>
    <d v="2024-10-14T00:00:00"/>
    <s v="October-2024"/>
    <s v="U32593973"/>
    <x v="1"/>
    <x v="0"/>
    <n v="90"/>
    <s v="Kanpur"/>
    <x v="4"/>
    <s v="Less than 5 kgs"/>
    <x v="0"/>
    <d v="2024-10-15T00:00:00"/>
    <s v="N.A."/>
  </r>
  <r>
    <d v="2024-10-14T00:00:00"/>
    <s v="October-2024"/>
    <s v="U32593974"/>
    <x v="1"/>
    <x v="0"/>
    <n v="120"/>
    <s v="Kanpur"/>
    <x v="3"/>
    <s v="Less than 5 kgs"/>
    <x v="0"/>
    <d v="2024-10-15T00:00:00"/>
    <s v="N.A."/>
  </r>
  <r>
    <d v="2024-10-14T00:00:00"/>
    <s v="October-2024"/>
    <s v="U32593975"/>
    <x v="1"/>
    <x v="0"/>
    <n v="90"/>
    <s v="Kanpur"/>
    <x v="1"/>
    <s v="Less than 5 kgs"/>
    <x v="0"/>
    <d v="2024-10-16T00:00:00"/>
    <s v="N.A."/>
  </r>
  <r>
    <d v="2024-10-14T00:00:00"/>
    <s v="October-2024"/>
    <s v="U32593976"/>
    <x v="1"/>
    <x v="0"/>
    <n v="140"/>
    <s v="Kanpur"/>
    <x v="7"/>
    <s v="Less than 5 kgs"/>
    <x v="0"/>
    <d v="2024-10-16T00:00:00"/>
    <s v="N.A."/>
  </r>
  <r>
    <d v="2024-10-14T00:00:00"/>
    <s v="October-2024"/>
    <s v="U32593977"/>
    <x v="1"/>
    <x v="0"/>
    <n v="90"/>
    <s v="Kanpur"/>
    <x v="23"/>
    <s v="Less than 5 kgs"/>
    <x v="0"/>
    <d v="2024-10-16T00:00:00"/>
    <s v="N.A."/>
  </r>
  <r>
    <d v="2024-10-14T00:00:00"/>
    <s v="October-2024"/>
    <s v="U32593978"/>
    <x v="1"/>
    <x v="0"/>
    <n v="120"/>
    <s v="Kanpur"/>
    <x v="1"/>
    <s v="Less than 5 kgs"/>
    <x v="0"/>
    <d v="2024-10-16T00:00:00"/>
    <s v="N.A."/>
  </r>
  <r>
    <d v="2024-10-14T00:00:00"/>
    <s v="October-2024"/>
    <s v="U32593979"/>
    <x v="1"/>
    <x v="0"/>
    <n v="480"/>
    <s v="Kanpur"/>
    <x v="40"/>
    <s v="Less than 5 kgs"/>
    <x v="2"/>
    <d v="2024-10-17T00:00:00"/>
    <s v="N.A."/>
  </r>
  <r>
    <d v="2024-10-14T00:00:00"/>
    <s v="October-2024"/>
    <s v="U32593980"/>
    <x v="1"/>
    <x v="0"/>
    <n v="230"/>
    <s v="Kanpur"/>
    <x v="2"/>
    <s v="Less than 5 kgs"/>
    <x v="0"/>
    <d v="2024-10-15T00:00:00"/>
    <s v="N.A."/>
  </r>
  <r>
    <d v="2024-10-15T00:00:00"/>
    <s v="October-2024"/>
    <s v="D93994459"/>
    <x v="1"/>
    <x v="0"/>
    <n v="650"/>
    <s v="Kanpur"/>
    <x v="15"/>
    <s v="More than 5 kgs"/>
    <x v="0"/>
    <d v="2024-10-17T00:00:00"/>
    <s v="N.A."/>
  </r>
  <r>
    <d v="2024-10-15T00:00:00"/>
    <s v="October-2024"/>
    <s v="D93994460"/>
    <x v="1"/>
    <x v="0"/>
    <n v="670"/>
    <s v="Kanpur"/>
    <x v="9"/>
    <s v="More than 5 kgs"/>
    <x v="0"/>
    <d v="2024-10-20T00:00:00"/>
    <s v="N.A."/>
  </r>
  <r>
    <d v="2024-10-15T00:00:00"/>
    <s v="October-2024"/>
    <s v="V85940506"/>
    <x v="0"/>
    <x v="0"/>
    <n v="1150"/>
    <s v="Kanpur"/>
    <x v="41"/>
    <s v="Less than 5 kgs"/>
    <x v="0"/>
    <d v="2024-10-17T00:00:00"/>
    <s v="N.A."/>
  </r>
  <r>
    <d v="2024-10-15T00:00:00"/>
    <s v="October-2024"/>
    <s v="V85940507"/>
    <x v="0"/>
    <x v="0"/>
    <n v="650"/>
    <s v="Kanpur"/>
    <x v="2"/>
    <s v="Less than 5 kgs"/>
    <x v="0"/>
    <d v="2024-10-16T00:00:00"/>
    <s v="N.A."/>
  </r>
  <r>
    <d v="2024-10-16T00:00:00"/>
    <s v="October-2024"/>
    <s v="D93994461"/>
    <x v="1"/>
    <x v="0"/>
    <n v="450"/>
    <s v="Kanpur"/>
    <x v="42"/>
    <s v="More than 5 kgs"/>
    <x v="0"/>
    <d v="2024-10-19T00:00:00"/>
    <s v="N.A."/>
  </r>
  <r>
    <d v="2024-10-16T00:00:00"/>
    <s v="October-2024"/>
    <s v="D93994462"/>
    <x v="1"/>
    <x v="0"/>
    <n v="760"/>
    <s v="Kanpur"/>
    <x v="7"/>
    <s v="More than 5 kgs"/>
    <x v="0"/>
    <d v="2024-10-22T00:00:00"/>
    <s v="N.A."/>
  </r>
  <r>
    <d v="2024-10-18T00:00:00"/>
    <s v="October-2024"/>
    <s v="D93994463"/>
    <x v="1"/>
    <x v="0"/>
    <n v="1000"/>
    <s v="Kanpur"/>
    <x v="3"/>
    <s v="More than 5 kgs"/>
    <x v="0"/>
    <d v="2024-10-21T00:00:00"/>
    <s v="N.A."/>
  </r>
  <r>
    <d v="2024-10-19T00:00:00"/>
    <s v="October-2024"/>
    <s v="V85940508"/>
    <x v="0"/>
    <x v="0"/>
    <n v="490"/>
    <s v="Kanpur"/>
    <x v="3"/>
    <s v="Less than 5 kgs"/>
    <x v="0"/>
    <d v="2024-10-22T00:00:00"/>
    <s v="N.A."/>
  </r>
  <r>
    <d v="2024-10-21T00:00:00"/>
    <s v="October-2024"/>
    <s v="D93994464"/>
    <x v="1"/>
    <x v="0"/>
    <n v="1050"/>
    <s v="Kanpur"/>
    <x v="43"/>
    <s v="More than 5 kgs"/>
    <x v="0"/>
    <d v="2024-10-24T00:00:00"/>
    <s v="N.A."/>
  </r>
  <r>
    <d v="2024-10-21T00:00:00"/>
    <s v="October-2024"/>
    <s v="U32594040"/>
    <x v="1"/>
    <x v="0"/>
    <n v="110"/>
    <s v="Kanpur"/>
    <x v="1"/>
    <s v="Less than 5 kgs"/>
    <x v="0"/>
    <d v="2024-10-22T00:00:00"/>
    <s v="N.A."/>
  </r>
  <r>
    <d v="2024-10-21T00:00:00"/>
    <s v="October-2024"/>
    <s v="U32594041"/>
    <x v="1"/>
    <x v="0"/>
    <n v="110"/>
    <s v="Kanpur"/>
    <x v="1"/>
    <s v="Less than 5 kgs"/>
    <x v="0"/>
    <d v="2024-10-22T00:00:00"/>
    <s v="N.A."/>
  </r>
  <r>
    <d v="2024-10-21T00:00:00"/>
    <s v="October-2024"/>
    <s v="U32594042"/>
    <x v="1"/>
    <x v="0"/>
    <n v="540"/>
    <s v="Kanpur"/>
    <x v="1"/>
    <s v="Less than 5 kgs"/>
    <x v="0"/>
    <d v="2024-10-22T00:00:00"/>
    <s v="N.A."/>
  </r>
  <r>
    <d v="2024-10-21T00:00:00"/>
    <s v="October-2024"/>
    <s v="U32594043"/>
    <x v="1"/>
    <x v="0"/>
    <n v="150"/>
    <s v="Kanpur"/>
    <x v="7"/>
    <s v="Less than 5 kgs"/>
    <x v="15"/>
    <d v="2024-10-23T00:00:00"/>
    <s v="N.A."/>
  </r>
  <r>
    <d v="2024-10-21T00:00:00"/>
    <s v="October-2024"/>
    <s v="U32594044"/>
    <x v="1"/>
    <x v="0"/>
    <n v="90"/>
    <s v="Kanpur"/>
    <x v="4"/>
    <s v="Less than 5 kgs"/>
    <x v="0"/>
    <d v="2024-10-22T00:00:00"/>
    <s v="N.A."/>
  </r>
  <r>
    <d v="2024-10-22T00:00:00"/>
    <s v="October-2024"/>
    <s v="D93994465"/>
    <x v="1"/>
    <x v="0"/>
    <n v="340"/>
    <s v="Kanpur"/>
    <x v="12"/>
    <s v="More than 5 kgs"/>
    <x v="0"/>
    <d v="2024-10-23T00:00:00"/>
    <s v="N.A."/>
  </r>
  <r>
    <d v="2024-10-22T00:00:00"/>
    <s v="October-2024"/>
    <s v="D93994466"/>
    <x v="1"/>
    <x v="0"/>
    <n v="480"/>
    <s v="Kanpur"/>
    <x v="9"/>
    <s v="More than 5 kgs"/>
    <x v="0"/>
    <d v="2024-10-30T00:00:00"/>
    <s v="N.A."/>
  </r>
  <r>
    <d v="2024-10-22T00:00:00"/>
    <s v="October-2024"/>
    <s v="D93994467"/>
    <x v="1"/>
    <x v="0"/>
    <n v="520"/>
    <s v="Kanpur"/>
    <x v="9"/>
    <s v="More than 5 kgs"/>
    <x v="0"/>
    <d v="2024-10-27T00:00:00"/>
    <s v="N.A."/>
  </r>
  <r>
    <d v="2024-10-22T00:00:00"/>
    <s v="October-2024"/>
    <s v="D93994468"/>
    <x v="1"/>
    <x v="0"/>
    <n v="1350"/>
    <s v="Kanpur"/>
    <x v="44"/>
    <s v="More than 5 kgs"/>
    <x v="0"/>
    <d v="2024-10-26T00:00:00"/>
    <s v="N.A."/>
  </r>
  <r>
    <d v="2024-10-22T00:00:00"/>
    <s v="October-2024"/>
    <s v="V85940509"/>
    <x v="0"/>
    <x v="0"/>
    <n v="320"/>
    <s v="Kanpur"/>
    <x v="7"/>
    <s v="Less than 5 kgs"/>
    <x v="0"/>
    <d v="2024-10-24T00:00:00"/>
    <s v="N.A."/>
  </r>
  <r>
    <d v="2024-10-23T00:00:00"/>
    <s v="October-2024"/>
    <s v="U32594073"/>
    <x v="1"/>
    <x v="0"/>
    <n v="70"/>
    <s v="Kanpur"/>
    <x v="4"/>
    <s v="Less than 5 kgs"/>
    <x v="0"/>
    <d v="2024-10-24T00:00:00"/>
    <s v="N.A."/>
  </r>
  <r>
    <d v="2024-10-23T00:00:00"/>
    <s v="October-2024"/>
    <s v="U32594074"/>
    <x v="1"/>
    <x v="0"/>
    <n v="70"/>
    <s v="Kanpur"/>
    <x v="4"/>
    <s v="Less than 5 kgs"/>
    <x v="0"/>
    <d v="2024-10-24T00:00:00"/>
    <s v="N.A."/>
  </r>
  <r>
    <d v="2024-10-23T00:00:00"/>
    <s v="October-2024"/>
    <s v="U32594075"/>
    <x v="1"/>
    <x v="0"/>
    <n v="90"/>
    <s v="Kanpur"/>
    <x v="4"/>
    <s v="Less than 5 kgs"/>
    <x v="0"/>
    <d v="2024-10-24T00:00:00"/>
    <s v="N.A."/>
  </r>
  <r>
    <d v="2024-10-23T00:00:00"/>
    <s v="October-2024"/>
    <s v="U32594076"/>
    <x v="1"/>
    <x v="0"/>
    <n v="90"/>
    <s v="Kanpur"/>
    <x v="4"/>
    <s v="Less than 5 kgs"/>
    <x v="0"/>
    <d v="2024-10-24T00:00:00"/>
    <s v="N.A."/>
  </r>
  <r>
    <d v="2024-10-23T00:00:00"/>
    <s v="October-2024"/>
    <s v="U32594077"/>
    <x v="1"/>
    <x v="0"/>
    <n v="140"/>
    <s v="Kanpur"/>
    <x v="16"/>
    <s v="Less than 5 kgs"/>
    <x v="0"/>
    <d v="2024-10-26T00:00:00"/>
    <s v="N.A."/>
  </r>
  <r>
    <d v="2024-10-23T00:00:00"/>
    <s v="October-2024"/>
    <s v="U32594078"/>
    <x v="1"/>
    <x v="0"/>
    <n v="140"/>
    <s v="Kanpur"/>
    <x v="16"/>
    <s v="Less than 5 kgs"/>
    <x v="0"/>
    <d v="2024-10-26T00:00:00"/>
    <s v="N.A."/>
  </r>
  <r>
    <d v="2024-10-23T00:00:00"/>
    <s v="October-2024"/>
    <s v="U32594079"/>
    <x v="1"/>
    <x v="0"/>
    <n v="90"/>
    <s v="Kanpur"/>
    <x v="3"/>
    <s v="Less than 5 kgs"/>
    <x v="0"/>
    <d v="2024-10-25T00:00:00"/>
    <s v="N.A."/>
  </r>
  <r>
    <d v="2024-10-23T00:00:00"/>
    <s v="October-2024"/>
    <s v="U32594080"/>
    <x v="1"/>
    <x v="0"/>
    <n v="170"/>
    <s v="Kanpur"/>
    <x v="10"/>
    <s v="Less than 5 kgs"/>
    <x v="0"/>
    <d v="2024-10-28T00:00:00"/>
    <s v="N.A."/>
  </r>
  <r>
    <d v="2024-10-23T00:00:00"/>
    <s v="October-2024"/>
    <s v="U32594081"/>
    <x v="1"/>
    <x v="0"/>
    <n v="90"/>
    <s v="Kanpur"/>
    <x v="1"/>
    <s v="Less than 5 kgs"/>
    <x v="0"/>
    <d v="2024-10-25T00:00:00"/>
    <s v="N.A."/>
  </r>
  <r>
    <d v="2024-10-23T00:00:00"/>
    <s v="October-2024"/>
    <s v="V85940510"/>
    <x v="0"/>
    <x v="0"/>
    <n v="540"/>
    <s v="Kanpur"/>
    <x v="45"/>
    <s v="Less than 5 kgs"/>
    <x v="0"/>
    <d v="2024-10-26T00:00:00"/>
    <s v="N.A."/>
  </r>
  <r>
    <d v="2024-10-23T00:00:00"/>
    <s v="October-2024"/>
    <s v="V85940511"/>
    <x v="0"/>
    <x v="0"/>
    <n v="310"/>
    <s v="Kanpur"/>
    <x v="9"/>
    <s v="Less than 5 kgs"/>
    <x v="0"/>
    <d v="2024-10-25T00:00:00"/>
    <s v="N.A."/>
  </r>
  <r>
    <d v="2024-10-24T00:00:00"/>
    <s v="October-2024"/>
    <s v="U32594082"/>
    <x v="1"/>
    <x v="0"/>
    <n v="90"/>
    <s v="Kanpur"/>
    <x v="1"/>
    <s v="Less than 5 kgs"/>
    <x v="0"/>
    <d v="2024-10-25T00:00:00"/>
    <s v="N.A."/>
  </r>
  <r>
    <d v="2024-10-24T00:00:00"/>
    <s v="October-2024"/>
    <s v="U32594083"/>
    <x v="1"/>
    <x v="0"/>
    <n v="1070"/>
    <s v="Kanpur"/>
    <x v="1"/>
    <s v="Less than 5 kgs"/>
    <x v="2"/>
    <d v="2024-10-26T00:00:00"/>
    <s v="N.A."/>
  </r>
  <r>
    <d v="2024-10-24T00:00:00"/>
    <s v="October-2024"/>
    <s v="U32594084"/>
    <x v="1"/>
    <x v="0"/>
    <n v="90"/>
    <s v="Kanpur"/>
    <x v="3"/>
    <s v="Less than 5 kgs"/>
    <x v="0"/>
    <d v="2024-10-26T00:00:00"/>
    <s v="N.A."/>
  </r>
  <r>
    <d v="2024-10-24T00:00:00"/>
    <s v="October-2024"/>
    <s v="U32594085"/>
    <x v="1"/>
    <x v="0"/>
    <n v="150"/>
    <s v="Kanpur"/>
    <x v="1"/>
    <s v="Less than 5 kgs"/>
    <x v="0"/>
    <d v="2024-10-26T00:00:00"/>
    <s v="N.A."/>
  </r>
  <r>
    <d v="2024-10-24T00:00:00"/>
    <s v="October-2024"/>
    <s v="U32594086"/>
    <x v="1"/>
    <x v="0"/>
    <n v="540"/>
    <s v="Kanpur"/>
    <x v="23"/>
    <s v="Less than 5 kgs"/>
    <x v="0"/>
    <d v="2024-10-26T00:00:00"/>
    <s v="N.A."/>
  </r>
  <r>
    <d v="2024-10-24T00:00:00"/>
    <s v="October-2024"/>
    <s v="U32594087"/>
    <x v="1"/>
    <x v="0"/>
    <n v="750"/>
    <s v="Kanpur"/>
    <x v="10"/>
    <s v="Less than 5 kgs"/>
    <x v="0"/>
    <d v="2024-10-27T00:00:00"/>
    <s v="N.A."/>
  </r>
  <r>
    <d v="2024-10-24T00:00:00"/>
    <s v="October-2024"/>
    <s v="V85940512"/>
    <x v="0"/>
    <x v="0"/>
    <n v="390"/>
    <s v="Kanpur"/>
    <x v="46"/>
    <s v="Less than 5 kgs"/>
    <x v="0"/>
    <d v="2024-10-28T00:00:00"/>
    <s v="N.A."/>
  </r>
  <r>
    <d v="2024-10-24T00:00:00"/>
    <s v="October-2024"/>
    <s v="V85940513"/>
    <x v="0"/>
    <x v="0"/>
    <n v="310"/>
    <s v="Kanpur"/>
    <x v="1"/>
    <s v="Less than 5 kgs"/>
    <x v="0"/>
    <d v="2024-10-25T00:00:00"/>
    <s v="N.A."/>
  </r>
  <r>
    <d v="2024-10-25T00:00:00"/>
    <s v="October-2024"/>
    <s v="U32594088"/>
    <x v="1"/>
    <x v="0"/>
    <n v="150"/>
    <s v="Kanpur"/>
    <x v="47"/>
    <s v="Less than 5 kgs"/>
    <x v="16"/>
    <d v="2024-10-30T00:00:00"/>
    <s v="N.A."/>
  </r>
  <r>
    <d v="2024-10-25T00:00:00"/>
    <s v="October-2024"/>
    <s v="U32594089"/>
    <x v="1"/>
    <x v="0"/>
    <n v="150"/>
    <s v="Kanpur"/>
    <x v="4"/>
    <s v="Less than 5 kgs"/>
    <x v="0"/>
    <d v="2024-10-26T00:00:00"/>
    <s v="N.A."/>
  </r>
  <r>
    <d v="2024-10-25T00:00:00"/>
    <s v="October-2024"/>
    <s v="U32594090"/>
    <x v="1"/>
    <x v="0"/>
    <n v="380"/>
    <s v="Kanpur"/>
    <x v="1"/>
    <s v="Less than 5 kgs"/>
    <x v="17"/>
    <d v="2024-10-28T00:00:00"/>
    <s v="N.A."/>
  </r>
  <r>
    <d v="2024-10-25T00:00:00"/>
    <s v="October-2024"/>
    <s v="U32594091"/>
    <x v="1"/>
    <x v="0"/>
    <n v="650"/>
    <s v="Kanpur"/>
    <x v="48"/>
    <s v="Less than 5 kgs"/>
    <x v="0"/>
    <d v="2024-10-31T00:00:00"/>
    <s v="N.A."/>
  </r>
  <r>
    <d v="2024-10-25T00:00:00"/>
    <s v="October-2024"/>
    <s v="U32594092"/>
    <x v="1"/>
    <x v="0"/>
    <n v="90"/>
    <s v="Kanpur"/>
    <x v="4"/>
    <s v="Less than 5 kgs"/>
    <x v="0"/>
    <d v="2024-10-28T00:00:00"/>
    <s v="N.A."/>
  </r>
  <r>
    <d v="2024-10-25T00:00:00"/>
    <s v="October-2024"/>
    <s v="U32594093"/>
    <x v="1"/>
    <x v="0"/>
    <n v="70"/>
    <s v="Kanpur"/>
    <x v="4"/>
    <s v="Less than 5 kgs"/>
    <x v="0"/>
    <d v="2024-10-28T00:00:00"/>
    <s v="N.A."/>
  </r>
  <r>
    <d v="2024-10-25T00:00:00"/>
    <s v="October-2024"/>
    <s v="U32594094"/>
    <x v="1"/>
    <x v="0"/>
    <n v="70"/>
    <s v="Kanpur"/>
    <x v="4"/>
    <s v="Less than 5 kgs"/>
    <x v="0"/>
    <d v="2024-10-28T00:00:00"/>
    <s v="N.A."/>
  </r>
  <r>
    <d v="2024-10-25T00:00:00"/>
    <s v="October-2024"/>
    <s v="U32594095"/>
    <x v="1"/>
    <x v="0"/>
    <n v="90"/>
    <s v="Kanpur"/>
    <x v="4"/>
    <s v="Less than 5 kgs"/>
    <x v="0"/>
    <d v="2024-10-28T00:00:00"/>
    <s v="N.A."/>
  </r>
  <r>
    <d v="2024-10-25T00:00:00"/>
    <s v="October-2024"/>
    <s v="U32594096"/>
    <x v="1"/>
    <x v="0"/>
    <n v="70"/>
    <s v="Kanpur"/>
    <x v="4"/>
    <s v="Less than 5 kgs"/>
    <x v="0"/>
    <d v="2024-10-28T00:00:00"/>
    <s v="N.A."/>
  </r>
  <r>
    <d v="2024-10-25T00:00:00"/>
    <s v="October-2024"/>
    <s v="U32594097"/>
    <x v="1"/>
    <x v="0"/>
    <n v="90"/>
    <s v="Kanpur"/>
    <x v="4"/>
    <s v="Less than 5 kgs"/>
    <x v="0"/>
    <d v="2024-10-28T00:00:00"/>
    <s v="N.A."/>
  </r>
  <r>
    <d v="2024-10-25T00:00:00"/>
    <s v="October-2024"/>
    <s v="U32594098"/>
    <x v="1"/>
    <x v="0"/>
    <n v="90"/>
    <s v="Kanpur"/>
    <x v="3"/>
    <s v="Less than 5 kgs"/>
    <x v="0"/>
    <d v="2024-10-28T00:00:00"/>
    <s v="N.A."/>
  </r>
  <r>
    <d v="2024-10-25T00:00:00"/>
    <s v="October-2024"/>
    <s v="U32594099"/>
    <x v="1"/>
    <x v="0"/>
    <n v="150"/>
    <s v="Kanpur"/>
    <x v="49"/>
    <s v="Less than 5 kgs"/>
    <x v="0"/>
    <d v="2024-11-04T00:00:00"/>
    <s v="N.A."/>
  </r>
  <r>
    <d v="2024-10-25T00:00:00"/>
    <s v="October-2024"/>
    <s v="U32594100"/>
    <x v="1"/>
    <x v="0"/>
    <n v="210"/>
    <s v="Kanpur"/>
    <x v="50"/>
    <s v="Less than 5 kgs"/>
    <x v="0"/>
    <d v="2024-10-28T00:00:00"/>
    <s v="N.A."/>
  </r>
  <r>
    <d v="2024-10-26T00:00:00"/>
    <s v="October-2024"/>
    <s v="U32594101"/>
    <x v="1"/>
    <x v="1"/>
    <n v="360"/>
    <s v="Kanpur"/>
    <x v="51"/>
    <s v="Less than 5 kgs"/>
    <x v="0"/>
    <d v="2024-10-29T00:00:00"/>
    <d v="2024-11-14T00:00:00"/>
  </r>
  <r>
    <d v="2024-10-26T00:00:00"/>
    <s v="October-2024"/>
    <s v="U32594102"/>
    <x v="1"/>
    <x v="0"/>
    <n v="150"/>
    <s v="Kanpur"/>
    <x v="1"/>
    <s v="Less than 5 kgs"/>
    <x v="0"/>
    <d v="2024-10-29T00:00:00"/>
    <s v="N.A."/>
  </r>
  <r>
    <d v="2024-10-26T00:00:00"/>
    <s v="October-2024"/>
    <s v="U32594103"/>
    <x v="1"/>
    <x v="0"/>
    <n v="120"/>
    <s v="Kanpur"/>
    <x v="23"/>
    <s v="Less than 5 kgs"/>
    <x v="10"/>
    <d v="2024-10-29T00:00:00"/>
    <s v="N.A."/>
  </r>
  <r>
    <d v="2024-10-26T00:00:00"/>
    <s v="October-2024"/>
    <s v="U32594104"/>
    <x v="1"/>
    <x v="0"/>
    <n v="150"/>
    <s v="Kanpur"/>
    <x v="3"/>
    <s v="Less than 5 kgs"/>
    <x v="2"/>
    <d v="2024-10-28T00:00:00"/>
    <s v="N.A."/>
  </r>
  <r>
    <d v="2024-10-28T00:00:00"/>
    <s v="October-2024"/>
    <s v="V85940514"/>
    <x v="0"/>
    <x v="0"/>
    <n v="250"/>
    <s v="Kanpur"/>
    <x v="3"/>
    <s v="Less than 5 kgs"/>
    <x v="0"/>
    <d v="2024-10-30T00:00:00"/>
    <s v="N.A."/>
  </r>
  <r>
    <d v="2024-10-30T00:00:00"/>
    <s v="October-2024"/>
    <s v="V85940515"/>
    <x v="0"/>
    <x v="0"/>
    <n v="240"/>
    <s v="Kanpur"/>
    <x v="52"/>
    <s v="Less than 5 kgs"/>
    <x v="0"/>
    <d v="2024-11-02T00:00:00"/>
    <s v="N.A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DF500-49B2-4DD4-834B-2939AD0E2768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2">
  <location ref="A3:B58" firstHeaderRow="1" firstDataRow="1" firstDataCol="1"/>
  <pivotFields count="12">
    <pivotField showAll="0"/>
    <pivotField axis="axisRow" showAll="0">
      <items count="3">
        <item x="0"/>
        <item h="1" x="1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56">
        <item x="6"/>
        <item x="43"/>
        <item x="12"/>
        <item x="26"/>
        <item x="42"/>
        <item x="13"/>
        <item x="50"/>
        <item x="8"/>
        <item x="20"/>
        <item x="9"/>
        <item x="49"/>
        <item x="36"/>
        <item x="32"/>
        <item x="37"/>
        <item x="17"/>
        <item x="31"/>
        <item x="15"/>
        <item x="1"/>
        <item x="45"/>
        <item x="39"/>
        <item x="5"/>
        <item x="2"/>
        <item x="52"/>
        <item x="23"/>
        <item x="27"/>
        <item x="0"/>
        <item x="44"/>
        <item x="35"/>
        <item x="14"/>
        <item x="51"/>
        <item x="22"/>
        <item x="34"/>
        <item x="28"/>
        <item x="38"/>
        <item x="16"/>
        <item x="4"/>
        <item m="1" x="54"/>
        <item x="11"/>
        <item x="21"/>
        <item x="7"/>
        <item x="48"/>
        <item x="3"/>
        <item x="41"/>
        <item x="25"/>
        <item x="10"/>
        <item x="18"/>
        <item x="24"/>
        <item x="47"/>
        <item x="30"/>
        <item x="46"/>
        <item x="29"/>
        <item x="19"/>
        <item x="40"/>
        <item x="33"/>
        <item x="53"/>
        <item t="default"/>
      </items>
    </pivotField>
    <pivotField showAll="0"/>
    <pivotField showAll="0"/>
    <pivotField showAll="0"/>
    <pivotField showAll="0"/>
  </pivotFields>
  <rowFields count="2">
    <field x="1"/>
    <field x="7"/>
  </rowFields>
  <rowItems count="5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t="grand">
      <x/>
    </i>
  </rowItems>
  <colItems count="1">
    <i/>
  </colItems>
  <dataFields count="1">
    <dataField name="Sum of Transaction Amount" fld="5" showDataAs="percentOfCol" baseField="0" baseItem="0" numFmtId="10"/>
  </dataFields>
  <formats count="23">
    <format dxfId="22">
      <pivotArea outline="0" collapsedLevelsAreSubtotals="1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grandRow="1" outline="0" fieldPosition="0"/>
    </format>
    <format dxfId="16">
      <pivotArea dataOnly="0" labelOnly="1" fieldPosition="0">
        <references count="2">
          <reference field="1" count="1" selected="0">
            <x v="0"/>
          </reference>
          <reference field="7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">
      <pivotArea dataOnly="0" labelOnly="1" fieldPosition="0">
        <references count="2">
          <reference field="1" count="1" selected="0">
            <x v="0"/>
          </reference>
          <reference field="7" count="4">
            <x v="50"/>
            <x v="51"/>
            <x v="52"/>
            <x v="53"/>
          </reference>
        </references>
      </pivotArea>
    </format>
    <format dxfId="14">
      <pivotArea dataOnly="0" labelOnly="1" fieldPosition="0">
        <references count="2">
          <reference field="1" count="1" selected="0">
            <x v="1"/>
          </reference>
          <reference field="7" count="1">
            <x v="54"/>
          </reference>
        </references>
      </pivotArea>
    </format>
    <format dxfId="13">
      <pivotArea dataOnly="0" labelOnly="1" outline="0" axis="axisValues" fieldPosition="0"/>
    </format>
    <format dxfId="12">
      <pivotArea collapsedLevelsAreSubtotals="1" fieldPosition="0">
        <references count="2">
          <reference field="1" count="1" selected="0">
            <x v="0"/>
          </reference>
          <reference field="7" count="1">
            <x v="9"/>
          </reference>
        </references>
      </pivotArea>
    </format>
    <format dxfId="11">
      <pivotArea dataOnly="0" labelOnly="1" fieldPosition="0">
        <references count="2">
          <reference field="1" count="1" selected="0">
            <x v="0"/>
          </reference>
          <reference field="7" count="1">
            <x v="9"/>
          </reference>
        </references>
      </pivotArea>
    </format>
    <format dxfId="10">
      <pivotArea collapsedLevelsAreSubtotals="1" fieldPosition="0">
        <references count="2">
          <reference field="1" count="1" selected="0">
            <x v="0"/>
          </reference>
          <reference field="7" count="1">
            <x v="17"/>
          </reference>
        </references>
      </pivotArea>
    </format>
    <format dxfId="9">
      <pivotArea dataOnly="0" labelOnly="1" fieldPosition="0">
        <references count="2">
          <reference field="1" count="1" selected="0">
            <x v="0"/>
          </reference>
          <reference field="7" count="1">
            <x v="17"/>
          </reference>
        </references>
      </pivotArea>
    </format>
    <format dxfId="8">
      <pivotArea collapsedLevelsAreSubtotals="1" fieldPosition="0">
        <references count="2">
          <reference field="1" count="1" selected="0">
            <x v="0"/>
          </reference>
          <reference field="7" count="1">
            <x v="35"/>
          </reference>
        </references>
      </pivotArea>
    </format>
    <format dxfId="7">
      <pivotArea dataOnly="0" labelOnly="1" fieldPosition="0">
        <references count="2">
          <reference field="1" count="1" selected="0">
            <x v="0"/>
          </reference>
          <reference field="7" count="1">
            <x v="35"/>
          </reference>
        </references>
      </pivotArea>
    </format>
    <format dxfId="6">
      <pivotArea collapsedLevelsAreSubtotals="1" fieldPosition="0">
        <references count="2">
          <reference field="1" count="1" selected="0">
            <x v="0"/>
          </reference>
          <reference field="7" count="1">
            <x v="24"/>
          </reference>
        </references>
      </pivotArea>
    </format>
    <format dxfId="5">
      <pivotArea dataOnly="0" labelOnly="1" fieldPosition="0">
        <references count="2">
          <reference field="1" count="1" selected="0">
            <x v="0"/>
          </reference>
          <reference field="7" count="1">
            <x v="24"/>
          </reference>
        </references>
      </pivotArea>
    </format>
    <format dxfId="4">
      <pivotArea collapsedLevelsAreSubtotals="1" fieldPosition="0">
        <references count="2">
          <reference field="1" count="1" selected="0">
            <x v="0"/>
          </reference>
          <reference field="7" count="1">
            <x v="30"/>
          </reference>
        </references>
      </pivotArea>
    </format>
    <format dxfId="3">
      <pivotArea dataOnly="0" labelOnly="1" fieldPosition="0">
        <references count="2">
          <reference field="1" count="1" selected="0">
            <x v="0"/>
          </reference>
          <reference field="7" count="1">
            <x v="30"/>
          </reference>
        </references>
      </pivotArea>
    </format>
    <format dxfId="2">
      <pivotArea collapsedLevelsAreSubtotals="1" fieldPosition="0">
        <references count="2">
          <reference field="1" count="1" selected="0">
            <x v="0"/>
          </reference>
          <reference field="7" count="1">
            <x v="12"/>
          </reference>
        </references>
      </pivotArea>
    </format>
    <format dxfId="1">
      <pivotArea dataOnly="0" labelOnly="1" fieldPosition="0">
        <references count="2">
          <reference field="1" count="1" selected="0">
            <x v="0"/>
          </reference>
          <reference field="7" count="1">
            <x v="12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E619B-F6F3-4F1D-92DA-E19FCA766B3D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A3:D23" firstHeaderRow="1" firstDataRow="2" firstDataCol="1"/>
  <pivotFields count="12">
    <pivotField numFmtId="14"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numFmtId="164" showAll="0"/>
    <pivotField showAll="0"/>
    <pivotField showAll="0"/>
    <pivotField showAll="0"/>
    <pivotField axis="axisRow" showAll="0">
      <items count="19">
        <item x="11"/>
        <item x="2"/>
        <item x="14"/>
        <item x="16"/>
        <item x="6"/>
        <item x="9"/>
        <item x="7"/>
        <item x="1"/>
        <item x="15"/>
        <item x="17"/>
        <item x="4"/>
        <item x="8"/>
        <item x="0"/>
        <item x="5"/>
        <item x="3"/>
        <item x="10"/>
        <item x="12"/>
        <item x="13"/>
        <item t="default"/>
      </items>
    </pivotField>
    <pivotField numFmtId="14" showAll="0"/>
    <pivotField showAll="0"/>
  </pivotFields>
  <rowFields count="1">
    <field x="9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Status" fld="4" subtotal="count" showDataAs="percentOfRow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B22AE-F791-4B5E-85A7-F5040AC050DB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1:B55" firstHeaderRow="1" firstDataRow="1" firstDataCol="1"/>
  <pivotFields count="15">
    <pivotField numFmtId="14" showAll="0"/>
    <pivotField showAll="0"/>
    <pivotField dataField="1" showAll="0"/>
    <pivotField showAll="0"/>
    <pivotField showAll="0"/>
    <pivotField numFmtId="164" showAll="0"/>
    <pivotField showAll="0"/>
    <pivotField axis="axisRow" showAll="0">
      <items count="55">
        <item x="6"/>
        <item x="43"/>
        <item x="12"/>
        <item x="26"/>
        <item x="42"/>
        <item x="13"/>
        <item x="50"/>
        <item x="8"/>
        <item x="20"/>
        <item x="9"/>
        <item x="49"/>
        <item x="36"/>
        <item x="32"/>
        <item x="37"/>
        <item x="17"/>
        <item x="31"/>
        <item x="15"/>
        <item x="1"/>
        <item x="45"/>
        <item x="39"/>
        <item x="5"/>
        <item x="2"/>
        <item x="52"/>
        <item x="23"/>
        <item x="27"/>
        <item x="0"/>
        <item x="44"/>
        <item x="35"/>
        <item x="14"/>
        <item x="51"/>
        <item x="22"/>
        <item x="34"/>
        <item x="28"/>
        <item x="38"/>
        <item x="16"/>
        <item x="4"/>
        <item m="1" x="53"/>
        <item x="11"/>
        <item x="21"/>
        <item x="7"/>
        <item x="48"/>
        <item x="3"/>
        <item x="41"/>
        <item x="25"/>
        <item x="10"/>
        <item x="18"/>
        <item x="24"/>
        <item x="47"/>
        <item x="30"/>
        <item x="46"/>
        <item x="29"/>
        <item x="19"/>
        <item x="40"/>
        <item x="33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</pivotFields>
  <rowFields count="1">
    <field x="7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Items count="1">
    <i/>
  </colItems>
  <dataFields count="1">
    <dataField name="Count of Tracking Numb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34DA66-FF20-4B2B-953F-6CD36F4EEE1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D1:E19" firstHeaderRow="1" firstDataRow="1" firstDataCol="1"/>
  <pivotFields count="4">
    <pivotField showAll="0"/>
    <pivotField dataField="1" showAll="0"/>
    <pivotField axis="axisRow" showAll="0">
      <items count="18">
        <item x="11"/>
        <item x="5"/>
        <item x="9"/>
        <item x="3"/>
        <item x="10"/>
        <item x="15"/>
        <item x="4"/>
        <item x="6"/>
        <item x="14"/>
        <item x="16"/>
        <item x="2"/>
        <item x="1"/>
        <item x="7"/>
        <item x="12"/>
        <item x="0"/>
        <item x="8"/>
        <item x="13"/>
        <item t="default"/>
      </items>
    </pivotField>
    <pivotField showAl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No. of parcels se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BC6AC-3F1A-4DC5-B035-F5897CC2CE77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:D58" firstHeaderRow="1" firstDataRow="2" firstDataCol="1"/>
  <pivotFields count="12">
    <pivotField numFmtId="14"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numFmtId="164" showAll="0"/>
    <pivotField showAll="0"/>
    <pivotField axis="axisRow" showAll="0">
      <items count="55">
        <item x="6"/>
        <item x="43"/>
        <item x="12"/>
        <item x="26"/>
        <item x="42"/>
        <item x="13"/>
        <item x="50"/>
        <item x="8"/>
        <item x="20"/>
        <item x="9"/>
        <item x="49"/>
        <item x="36"/>
        <item x="32"/>
        <item x="37"/>
        <item x="17"/>
        <item x="31"/>
        <item x="15"/>
        <item x="1"/>
        <item x="45"/>
        <item x="39"/>
        <item x="5"/>
        <item x="2"/>
        <item x="52"/>
        <item x="23"/>
        <item x="27"/>
        <item x="0"/>
        <item x="44"/>
        <item x="35"/>
        <item x="14"/>
        <item x="51"/>
        <item x="22"/>
        <item x="34"/>
        <item x="28"/>
        <item x="38"/>
        <item x="16"/>
        <item x="4"/>
        <item m="1" x="53"/>
        <item x="11"/>
        <item x="21"/>
        <item x="7"/>
        <item x="48"/>
        <item x="3"/>
        <item x="41"/>
        <item x="25"/>
        <item x="10"/>
        <item x="18"/>
        <item x="24"/>
        <item x="47"/>
        <item x="30"/>
        <item x="46"/>
        <item x="29"/>
        <item x="19"/>
        <item x="40"/>
        <item x="33"/>
        <item t="default"/>
      </items>
    </pivotField>
    <pivotField showAll="0"/>
    <pivotField showAll="0"/>
    <pivotField numFmtId="14" showAll="0"/>
    <pivotField showAll="0"/>
  </pivotFields>
  <rowFields count="1">
    <field x="7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Status" fld="4" subtotal="count" showDataAs="percentOfRow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6CD17-0A2E-4B43-A389-CE57F57B2D99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">
  <location ref="A3:D7" firstHeaderRow="1" firstDataRow="2" firstDataCol="1"/>
  <pivotFields count="12">
    <pivotField numFmtId="14" showAll="0"/>
    <pivotField showAll="0"/>
    <pivotField showAll="0"/>
    <pivotField axis="axisRow" showAll="0">
      <items count="3"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  <pivotField numFmtId="164" showAll="0"/>
    <pivotField showAll="0"/>
    <pivotField showAll="0"/>
    <pivotField showAll="0"/>
    <pivotField showAll="0"/>
    <pivotField numFmtId="14"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Status" fld="4" subtotal="count" showDataAs="percentOfRow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A435E-4BEF-4D3C-A9E2-16D183A7DF16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A3:B17" firstHeaderRow="1" firstDataRow="1" firstDataCol="1" rowPageCount="1" colPageCount="1"/>
  <pivotFields count="15">
    <pivotField numFmtId="14" showAll="0"/>
    <pivotField showAll="0"/>
    <pivotField dataField="1" showAll="0"/>
    <pivotField showAll="0"/>
    <pivotField showAll="0"/>
    <pivotField numFmtId="164" showAll="0"/>
    <pivotField showAll="0"/>
    <pivotField axis="axisRow" showAll="0">
      <items count="55">
        <item x="6"/>
        <item x="43"/>
        <item x="12"/>
        <item x="26"/>
        <item x="42"/>
        <item x="13"/>
        <item x="50"/>
        <item x="8"/>
        <item x="20"/>
        <item x="9"/>
        <item x="49"/>
        <item x="36"/>
        <item x="32"/>
        <item x="37"/>
        <item x="17"/>
        <item x="31"/>
        <item x="15"/>
        <item x="1"/>
        <item x="45"/>
        <item x="39"/>
        <item x="5"/>
        <item x="2"/>
        <item x="52"/>
        <item x="23"/>
        <item x="27"/>
        <item x="0"/>
        <item x="44"/>
        <item x="35"/>
        <item x="14"/>
        <item x="51"/>
        <item x="22"/>
        <item x="34"/>
        <item x="28"/>
        <item x="38"/>
        <item x="16"/>
        <item x="4"/>
        <item m="1" x="53"/>
        <item x="11"/>
        <item x="21"/>
        <item x="7"/>
        <item x="48"/>
        <item x="3"/>
        <item x="41"/>
        <item x="25"/>
        <item x="10"/>
        <item x="18"/>
        <item x="24"/>
        <item x="47"/>
        <item x="30"/>
        <item x="46"/>
        <item x="29"/>
        <item x="19"/>
        <item x="40"/>
        <item x="33"/>
        <item t="default"/>
      </items>
    </pivotField>
    <pivotField showAll="0"/>
    <pivotField showAll="0"/>
    <pivotField numFmtId="14" showAll="0"/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</pivotFields>
  <rowFields count="1">
    <field x="7"/>
  </rowFields>
  <rowItems count="14">
    <i>
      <x v="2"/>
    </i>
    <i>
      <x v="9"/>
    </i>
    <i>
      <x v="16"/>
    </i>
    <i>
      <x v="17"/>
    </i>
    <i>
      <x v="21"/>
    </i>
    <i>
      <x v="23"/>
    </i>
    <i>
      <x v="25"/>
    </i>
    <i>
      <x v="34"/>
    </i>
    <i>
      <x v="35"/>
    </i>
    <i>
      <x v="39"/>
    </i>
    <i>
      <x v="41"/>
    </i>
    <i>
      <x v="44"/>
    </i>
    <i>
      <x v="50"/>
    </i>
    <i t="grand">
      <x/>
    </i>
  </rowItems>
  <colItems count="1">
    <i/>
  </colItems>
  <pageFields count="1">
    <pageField fld="14" item="0" hier="-1"/>
  </pageFields>
  <dataFields count="1">
    <dataField name="Count of Tracking Number" fld="2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4F5166-FA63-47C1-975D-C4841F3ADD84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7">
  <location ref="A1:B4" firstHeaderRow="1" firstDataRow="1" firstDataCol="1"/>
  <pivotFields count="15">
    <pivotField numFmtId="14"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numFmtId="16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Tracking Number" fld="2" subtotal="count" showDataAs="percentOfCo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BE3CE-0762-43C7-9D53-593CF755C438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">
  <location ref="A1:B4" firstHeaderRow="1" firstDataRow="1" firstDataCol="1"/>
  <pivotFields count="15">
    <pivotField numFmtId="14" showAll="0"/>
    <pivotField showAll="0"/>
    <pivotField dataField="1" showAll="0"/>
    <pivotField showAll="0"/>
    <pivotField showAll="0"/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4"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Tracking Number" fld="2" subtotal="count" showDataAs="percentOfCo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1B780-5C12-42F7-8E60-CAC6DC7E649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A1:B4" firstHeaderRow="1" firstDataRow="1" firstDataCol="1"/>
  <pivotFields count="15">
    <pivotField numFmtId="14" showAll="0"/>
    <pivotField showAll="0"/>
    <pivotField showAll="0"/>
    <pivotField showAll="0"/>
    <pivotField showAll="0"/>
    <pivotField dataField="1"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4" showAll="0"/>
    <pivotField showAll="0"/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Transaction Amount" fld="5" showDataAs="percentOfCo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DE0AE2-7107-4B91-84E6-C47E74D62A5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1:C4" firstHeaderRow="0" firstDataRow="1" firstDataCol="1"/>
  <pivotFields count="15">
    <pivotField numFmtId="14" showAll="0"/>
    <pivotField showAll="0"/>
    <pivotField dataField="1" showAll="0"/>
    <pivotField showAll="0"/>
    <pivotField showAll="0"/>
    <pivotField numFmtId="16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4" showAll="0"/>
    <pivotField showAll="0"/>
    <pivotField showAll="0"/>
    <pivotField dataField="1"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cking Number" fld="2" subtotal="count" baseField="0" baseItem="0"/>
    <dataField name="Sum of Average deivery Time(Days)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BC881-19D6-43B3-A50D-EB7ACEBB8BA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1:C55" firstHeaderRow="0" firstDataRow="1" firstDataCol="1"/>
  <pivotFields count="16">
    <pivotField numFmtId="14" showAll="0"/>
    <pivotField showAll="0"/>
    <pivotField dataField="1" showAll="0"/>
    <pivotField showAll="0"/>
    <pivotField showAll="0"/>
    <pivotField dataField="1" numFmtId="164" showAll="0"/>
    <pivotField showAll="0"/>
    <pivotField axis="axisRow" showAll="0">
      <items count="54">
        <item x="6"/>
        <item x="43"/>
        <item x="12"/>
        <item x="26"/>
        <item x="42"/>
        <item x="13"/>
        <item x="50"/>
        <item x="8"/>
        <item x="20"/>
        <item x="9"/>
        <item x="49"/>
        <item x="36"/>
        <item x="32"/>
        <item x="37"/>
        <item x="17"/>
        <item x="31"/>
        <item x="15"/>
        <item x="1"/>
        <item x="45"/>
        <item x="39"/>
        <item x="5"/>
        <item x="2"/>
        <item x="52"/>
        <item x="23"/>
        <item x="27"/>
        <item x="0"/>
        <item x="44"/>
        <item x="35"/>
        <item x="14"/>
        <item x="51"/>
        <item x="22"/>
        <item x="34"/>
        <item x="28"/>
        <item x="38"/>
        <item x="16"/>
        <item x="4"/>
        <item x="11"/>
        <item x="21"/>
        <item x="7"/>
        <item x="48"/>
        <item x="3"/>
        <item x="41"/>
        <item x="25"/>
        <item x="10"/>
        <item x="18"/>
        <item x="24"/>
        <item x="47"/>
        <item x="30"/>
        <item x="46"/>
        <item x="29"/>
        <item x="19"/>
        <item x="40"/>
        <item x="33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7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ransaction Amount" fld="5" baseField="0" baseItem="0" numFmtId="164"/>
    <dataField name="Count of Tracking Numbe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A74FF-0A58-429C-BDC1-58869F508DD2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A1:B9" firstHeaderRow="1" firstDataRow="1" firstDataCol="1"/>
  <pivotFields count="1">
    <pivotField axis="axisRow" dataField="1" showAll="0">
      <items count="9">
        <item x="4"/>
        <item x="5"/>
        <item x="0"/>
        <item x="6"/>
        <item x="1"/>
        <item x="2"/>
        <item x="3"/>
        <item h="1" x="7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Weekday" fld="0" subtotal="count" showDataAs="percentOfCo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9ECBF-41A8-425D-84F5-5CF9ABCBF49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A1:B4" firstHeaderRow="1" firstDataRow="1" firstDataCol="1"/>
  <pivotFields count="15">
    <pivotField numFmtId="1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numFmtId="164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ransaction Amount" fld="5" showDataAs="percentOfCol" baseField="0" baseItem="0" numFmtId="1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56A068-894B-4A17-B621-A4E3BE1AC21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A2:B28" firstHeaderRow="1" firstDataRow="1" firstDataCol="1"/>
  <pivotFields count="6">
    <pivotField axis="axisRow" numFmtId="14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/>
    <pivotField showAll="0"/>
    <pivotField showAll="0"/>
    <pivotField showAll="0"/>
    <pivotField dataField="1" numFmtId="164"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Transaction Amount" fld="5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3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4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5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A10C-612A-435C-8149-300944720B5E}">
  <dimension ref="A1:X60"/>
  <sheetViews>
    <sheetView topLeftCell="A21" zoomScale="90" zoomScaleNormal="30" workbookViewId="0">
      <selection activeCell="B11" sqref="B11"/>
    </sheetView>
  </sheetViews>
  <sheetFormatPr defaultRowHeight="14.5" x14ac:dyDescent="0.35"/>
  <cols>
    <col min="1" max="1" width="16.7265625" bestFit="1" customWidth="1"/>
    <col min="2" max="2" width="24.81640625" bestFit="1" customWidth="1"/>
    <col min="21" max="21" width="9.6328125" bestFit="1" customWidth="1"/>
  </cols>
  <sheetData>
    <row r="1" spans="1:24" ht="29" customHeight="1" x14ac:dyDescent="0.5">
      <c r="A1" s="7" t="s">
        <v>319</v>
      </c>
      <c r="B1" s="7"/>
      <c r="C1" s="8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5" thickBot="1" x14ac:dyDescent="0.4"/>
    <row r="3" spans="1:24" ht="15" thickBot="1" x14ac:dyDescent="0.4">
      <c r="A3" s="19" t="s">
        <v>312</v>
      </c>
      <c r="B3" s="24" t="s">
        <v>318</v>
      </c>
      <c r="U3" s="4"/>
      <c r="V3" s="4"/>
    </row>
    <row r="4" spans="1:24" ht="15" thickBot="1" x14ac:dyDescent="0.4">
      <c r="A4" s="20" t="s">
        <v>317</v>
      </c>
      <c r="B4" s="30">
        <v>1</v>
      </c>
      <c r="U4" s="4"/>
    </row>
    <row r="5" spans="1:24" x14ac:dyDescent="0.35">
      <c r="A5" s="21" t="s">
        <v>270</v>
      </c>
      <c r="B5" s="31">
        <v>5.8081495598511666E-3</v>
      </c>
      <c r="U5" s="4"/>
    </row>
    <row r="6" spans="1:24" x14ac:dyDescent="0.35">
      <c r="A6" s="22" t="s">
        <v>290</v>
      </c>
      <c r="B6" s="31">
        <v>1.905799074326164E-2</v>
      </c>
      <c r="U6" s="4"/>
    </row>
    <row r="7" spans="1:24" x14ac:dyDescent="0.35">
      <c r="A7" s="22" t="s">
        <v>130</v>
      </c>
      <c r="B7" s="31">
        <v>1.5064887920863962E-2</v>
      </c>
      <c r="U7" s="4"/>
    </row>
    <row r="8" spans="1:24" x14ac:dyDescent="0.35">
      <c r="A8" s="22" t="s">
        <v>154</v>
      </c>
      <c r="B8" s="31">
        <v>6.3526635810872128E-3</v>
      </c>
      <c r="U8" s="4"/>
    </row>
    <row r="9" spans="1:24" x14ac:dyDescent="0.35">
      <c r="A9" s="22" t="s">
        <v>286</v>
      </c>
      <c r="B9" s="31">
        <v>8.1677103185407024E-3</v>
      </c>
      <c r="U9" s="4"/>
    </row>
    <row r="10" spans="1:24" x14ac:dyDescent="0.35">
      <c r="A10" s="22" t="s">
        <v>275</v>
      </c>
      <c r="B10" s="31">
        <v>4.5376168436337232E-3</v>
      </c>
      <c r="U10" s="4"/>
    </row>
    <row r="11" spans="1:24" x14ac:dyDescent="0.35">
      <c r="A11" s="22" t="s">
        <v>103</v>
      </c>
      <c r="B11" s="31">
        <v>3.8115981486523277E-3</v>
      </c>
      <c r="U11" s="4"/>
    </row>
    <row r="12" spans="1:24" x14ac:dyDescent="0.35">
      <c r="A12" s="22" t="s">
        <v>171</v>
      </c>
      <c r="B12" s="31">
        <v>4.9006261911244218E-3</v>
      </c>
      <c r="U12" s="4"/>
    </row>
    <row r="13" spans="1:24" x14ac:dyDescent="0.35">
      <c r="A13" s="22" t="s">
        <v>172</v>
      </c>
      <c r="B13" s="31">
        <v>1.7605953353298849E-2</v>
      </c>
      <c r="U13" s="4"/>
    </row>
    <row r="14" spans="1:24" x14ac:dyDescent="0.35">
      <c r="A14" s="28" t="s">
        <v>87</v>
      </c>
      <c r="B14" s="32">
        <v>0.10781377620473727</v>
      </c>
      <c r="U14" s="4"/>
    </row>
    <row r="15" spans="1:24" x14ac:dyDescent="0.35">
      <c r="A15" s="22" t="s">
        <v>102</v>
      </c>
      <c r="B15" s="31">
        <v>2.722570106180234E-3</v>
      </c>
      <c r="U15" s="4"/>
    </row>
    <row r="16" spans="1:24" x14ac:dyDescent="0.35">
      <c r="A16" s="22" t="s">
        <v>137</v>
      </c>
      <c r="B16" s="31">
        <v>9.8012523822488436E-3</v>
      </c>
      <c r="U16" s="4"/>
    </row>
    <row r="17" spans="1:21" x14ac:dyDescent="0.35">
      <c r="A17" s="42" t="s">
        <v>133</v>
      </c>
      <c r="B17" s="43">
        <v>1.9965514111988385E-3</v>
      </c>
      <c r="U17" s="4"/>
    </row>
    <row r="18" spans="1:21" x14ac:dyDescent="0.35">
      <c r="A18" s="22" t="s">
        <v>138</v>
      </c>
      <c r="B18" s="31">
        <v>4.3561121698883747E-3</v>
      </c>
      <c r="U18" s="4"/>
    </row>
    <row r="19" spans="1:21" x14ac:dyDescent="0.35">
      <c r="A19" s="22" t="s">
        <v>276</v>
      </c>
      <c r="B19" s="31">
        <v>2.722570106180234E-3</v>
      </c>
      <c r="U19" s="4"/>
    </row>
    <row r="20" spans="1:21" x14ac:dyDescent="0.35">
      <c r="A20" s="22" t="s">
        <v>129</v>
      </c>
      <c r="B20" s="31">
        <v>8.7122243397767495E-3</v>
      </c>
      <c r="U20" s="4"/>
    </row>
    <row r="21" spans="1:21" x14ac:dyDescent="0.35">
      <c r="A21" s="22" t="s">
        <v>132</v>
      </c>
      <c r="B21" s="31">
        <v>1.7605953353298849E-2</v>
      </c>
      <c r="U21" s="4"/>
    </row>
    <row r="22" spans="1:21" x14ac:dyDescent="0.35">
      <c r="A22" s="28" t="s">
        <v>89</v>
      </c>
      <c r="B22" s="32">
        <v>0.15110264089300299</v>
      </c>
      <c r="U22" s="4"/>
    </row>
    <row r="23" spans="1:21" x14ac:dyDescent="0.35">
      <c r="A23" s="22" t="s">
        <v>297</v>
      </c>
      <c r="B23" s="31">
        <v>9.8012523822488436E-3</v>
      </c>
      <c r="U23" s="4"/>
    </row>
    <row r="24" spans="1:21" x14ac:dyDescent="0.35">
      <c r="A24" s="22" t="s">
        <v>82</v>
      </c>
      <c r="B24" s="31">
        <v>2.5410654324348851E-3</v>
      </c>
      <c r="U24" s="4"/>
    </row>
    <row r="25" spans="1:21" x14ac:dyDescent="0.35">
      <c r="A25" s="22" t="s">
        <v>178</v>
      </c>
      <c r="B25" s="31">
        <v>6.3526635810872128E-3</v>
      </c>
      <c r="U25" s="4"/>
    </row>
    <row r="26" spans="1:21" x14ac:dyDescent="0.35">
      <c r="A26" s="22" t="s">
        <v>86</v>
      </c>
      <c r="B26" s="31">
        <v>5.5903439513567472E-2</v>
      </c>
      <c r="U26" s="4"/>
    </row>
    <row r="27" spans="1:21" x14ac:dyDescent="0.35">
      <c r="A27" s="22" t="s">
        <v>299</v>
      </c>
      <c r="B27" s="31">
        <v>4.3561121698883747E-3</v>
      </c>
      <c r="U27" s="4"/>
    </row>
    <row r="28" spans="1:21" x14ac:dyDescent="0.35">
      <c r="A28" s="22" t="s">
        <v>92</v>
      </c>
      <c r="B28" s="31">
        <v>1.905799074326164E-2</v>
      </c>
      <c r="U28" s="4"/>
    </row>
    <row r="29" spans="1:21" x14ac:dyDescent="0.35">
      <c r="A29" s="29" t="s">
        <v>209</v>
      </c>
      <c r="B29" s="33">
        <v>1.6335420637081405E-3</v>
      </c>
      <c r="U29" s="4"/>
    </row>
    <row r="30" spans="1:21" x14ac:dyDescent="0.35">
      <c r="A30" s="22" t="s">
        <v>131</v>
      </c>
      <c r="B30" s="31">
        <v>2.2688084218168619E-2</v>
      </c>
      <c r="U30" s="4"/>
    </row>
    <row r="31" spans="1:21" x14ac:dyDescent="0.35">
      <c r="A31" s="22" t="s">
        <v>295</v>
      </c>
      <c r="B31" s="31">
        <v>2.4503130955622107E-2</v>
      </c>
      <c r="U31" s="4"/>
    </row>
    <row r="32" spans="1:21" x14ac:dyDescent="0.35">
      <c r="A32" s="22" t="s">
        <v>140</v>
      </c>
      <c r="B32" s="31">
        <v>7.0786822760686091E-3</v>
      </c>
      <c r="U32" s="4"/>
    </row>
    <row r="33" spans="1:21" x14ac:dyDescent="0.35">
      <c r="A33" s="22" t="s">
        <v>160</v>
      </c>
      <c r="B33" s="31">
        <v>2.7951719756783736E-2</v>
      </c>
      <c r="U33" s="4"/>
    </row>
    <row r="34" spans="1:21" x14ac:dyDescent="0.35">
      <c r="A34" s="22" t="s">
        <v>105</v>
      </c>
      <c r="B34" s="31">
        <v>6.5341682548325621E-3</v>
      </c>
      <c r="U34" s="4"/>
    </row>
    <row r="35" spans="1:21" x14ac:dyDescent="0.35">
      <c r="A35" s="29" t="s">
        <v>208</v>
      </c>
      <c r="B35" s="33">
        <v>1.6335420637081405E-3</v>
      </c>
      <c r="U35" s="4"/>
    </row>
    <row r="36" spans="1:21" x14ac:dyDescent="0.35">
      <c r="A36" s="22" t="s">
        <v>135</v>
      </c>
      <c r="B36" s="31">
        <v>2.722570106180234E-3</v>
      </c>
      <c r="U36" s="4"/>
    </row>
    <row r="37" spans="1:21" x14ac:dyDescent="0.35">
      <c r="A37" s="22" t="s">
        <v>214</v>
      </c>
      <c r="B37" s="31">
        <v>2.722570106180234E-3</v>
      </c>
      <c r="U37" s="4"/>
    </row>
    <row r="38" spans="1:21" x14ac:dyDescent="0.35">
      <c r="A38" s="22" t="s">
        <v>282</v>
      </c>
      <c r="B38" s="31">
        <v>1.2886831835919776E-2</v>
      </c>
      <c r="U38" s="4"/>
    </row>
    <row r="39" spans="1:21" x14ac:dyDescent="0.35">
      <c r="A39" s="22" t="s">
        <v>96</v>
      </c>
      <c r="B39" s="31">
        <v>1.3975859878391868E-2</v>
      </c>
      <c r="U39" s="4"/>
    </row>
    <row r="40" spans="1:21" x14ac:dyDescent="0.35">
      <c r="A40" s="28" t="s">
        <v>88</v>
      </c>
      <c r="B40" s="32">
        <v>9.9646065886196566E-2</v>
      </c>
      <c r="U40" s="4"/>
    </row>
    <row r="41" spans="1:21" x14ac:dyDescent="0.35">
      <c r="A41" s="22" t="s">
        <v>271</v>
      </c>
      <c r="B41" s="31">
        <v>1.9965514111988385E-3</v>
      </c>
      <c r="U41" s="4"/>
    </row>
    <row r="42" spans="1:21" x14ac:dyDescent="0.35">
      <c r="A42" s="22" t="s">
        <v>148</v>
      </c>
      <c r="B42" s="31">
        <v>1.5246392594609311E-2</v>
      </c>
      <c r="U42" s="4"/>
    </row>
    <row r="43" spans="1:21" x14ac:dyDescent="0.35">
      <c r="A43" s="22" t="s">
        <v>91</v>
      </c>
      <c r="B43" s="31">
        <v>5.7899990924766311E-2</v>
      </c>
      <c r="U43" s="4"/>
    </row>
    <row r="44" spans="1:21" x14ac:dyDescent="0.35">
      <c r="A44" s="22" t="s">
        <v>101</v>
      </c>
      <c r="B44" s="31">
        <v>1.1797803793447682E-2</v>
      </c>
      <c r="U44" s="4"/>
    </row>
    <row r="45" spans="1:21" x14ac:dyDescent="0.35">
      <c r="A45" s="22" t="s">
        <v>90</v>
      </c>
      <c r="B45" s="31">
        <v>6.9153280696977945E-2</v>
      </c>
      <c r="U45" s="4"/>
    </row>
    <row r="46" spans="1:21" x14ac:dyDescent="0.35">
      <c r="A46" s="22" t="s">
        <v>296</v>
      </c>
      <c r="B46" s="31">
        <v>2.0873037480715128E-2</v>
      </c>
      <c r="U46" s="4"/>
    </row>
    <row r="47" spans="1:21" x14ac:dyDescent="0.35">
      <c r="A47" s="22" t="s">
        <v>144</v>
      </c>
      <c r="B47" s="31">
        <v>2.2688084218168619E-2</v>
      </c>
      <c r="U47" s="4"/>
    </row>
    <row r="48" spans="1:21" x14ac:dyDescent="0.35">
      <c r="A48" s="22" t="s">
        <v>97</v>
      </c>
      <c r="B48" s="31">
        <v>3.0492785189218621E-2</v>
      </c>
      <c r="U48" s="4"/>
    </row>
    <row r="49" spans="1:21" x14ac:dyDescent="0.35">
      <c r="A49" s="22" t="s">
        <v>277</v>
      </c>
      <c r="B49" s="31">
        <v>6.3526635810872128E-3</v>
      </c>
      <c r="U49" s="4"/>
    </row>
    <row r="50" spans="1:21" x14ac:dyDescent="0.35">
      <c r="A50" s="22" t="s">
        <v>151</v>
      </c>
      <c r="B50" s="31">
        <v>7.0786822760686091E-3</v>
      </c>
      <c r="U50" s="4"/>
    </row>
    <row r="51" spans="1:21" x14ac:dyDescent="0.35">
      <c r="A51" s="22" t="s">
        <v>99</v>
      </c>
      <c r="B51" s="31">
        <v>2.722570106180234E-3</v>
      </c>
      <c r="U51" s="4"/>
    </row>
    <row r="52" spans="1:21" x14ac:dyDescent="0.35">
      <c r="A52" s="22" t="s">
        <v>215</v>
      </c>
      <c r="B52" s="31">
        <v>2.1780560849441874E-3</v>
      </c>
      <c r="U52" s="4"/>
    </row>
    <row r="53" spans="1:21" ht="15" thickBot="1" x14ac:dyDescent="0.4">
      <c r="A53" s="23" t="s">
        <v>298</v>
      </c>
      <c r="B53" s="31">
        <v>7.0786822760686091E-3</v>
      </c>
      <c r="U53" s="4"/>
    </row>
    <row r="54" spans="1:21" x14ac:dyDescent="0.35">
      <c r="A54" s="21" t="s">
        <v>136</v>
      </c>
      <c r="B54" s="31">
        <v>1.0527271077230239E-2</v>
      </c>
      <c r="U54" s="4"/>
    </row>
    <row r="55" spans="1:21" x14ac:dyDescent="0.35">
      <c r="A55" s="22" t="s">
        <v>278</v>
      </c>
      <c r="B55" s="31">
        <v>3.8115981486523277E-3</v>
      </c>
      <c r="U55" s="4"/>
    </row>
    <row r="56" spans="1:21" x14ac:dyDescent="0.35">
      <c r="A56" s="22" t="s">
        <v>93</v>
      </c>
      <c r="B56" s="31">
        <v>8.7122243397767495E-3</v>
      </c>
    </row>
    <row r="57" spans="1:21" ht="15" thickBot="1" x14ac:dyDescent="0.4">
      <c r="A57" s="23" t="s">
        <v>134</v>
      </c>
      <c r="B57" s="31">
        <v>7.2601869498139576E-3</v>
      </c>
    </row>
    <row r="58" spans="1:21" ht="15" thickBot="1" x14ac:dyDescent="0.4">
      <c r="A58" s="20" t="s">
        <v>313</v>
      </c>
      <c r="B58" s="34">
        <v>1</v>
      </c>
    </row>
    <row r="60" spans="1:21" ht="15" thickBot="1" x14ac:dyDescent="0.4"/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D20A7-A140-49DE-9858-CB5B2081D609}">
  <dimension ref="A1:X23"/>
  <sheetViews>
    <sheetView zoomScale="84" workbookViewId="0">
      <selection activeCell="I23" sqref="I23"/>
    </sheetView>
  </sheetViews>
  <sheetFormatPr defaultRowHeight="14.5" x14ac:dyDescent="0.35"/>
  <cols>
    <col min="1" max="2" width="16" bestFit="1" customWidth="1"/>
    <col min="3" max="3" width="9.08984375" bestFit="1" customWidth="1"/>
    <col min="4" max="5" width="10.90625" bestFit="1" customWidth="1"/>
  </cols>
  <sheetData>
    <row r="1" spans="1:24" ht="29" customHeight="1" x14ac:dyDescent="0.5">
      <c r="A1" s="7" t="s">
        <v>326</v>
      </c>
      <c r="B1" s="7"/>
      <c r="C1" s="8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x14ac:dyDescent="0.35">
      <c r="A2" s="9"/>
      <c r="B2" s="9"/>
    </row>
    <row r="3" spans="1:24" x14ac:dyDescent="0.35">
      <c r="A3" s="12" t="s">
        <v>323</v>
      </c>
      <c r="B3" s="12" t="s">
        <v>322</v>
      </c>
    </row>
    <row r="4" spans="1:24" x14ac:dyDescent="0.35">
      <c r="A4" s="12" t="s">
        <v>312</v>
      </c>
      <c r="B4" t="s">
        <v>85</v>
      </c>
      <c r="C4" t="s">
        <v>104</v>
      </c>
      <c r="D4" t="s">
        <v>313</v>
      </c>
    </row>
    <row r="5" spans="1:24" x14ac:dyDescent="0.35">
      <c r="A5" s="13" t="s">
        <v>210</v>
      </c>
      <c r="B5" s="14">
        <v>1</v>
      </c>
      <c r="C5" s="14">
        <v>0</v>
      </c>
      <c r="D5" s="14">
        <v>1</v>
      </c>
    </row>
    <row r="6" spans="1:24" x14ac:dyDescent="0.35">
      <c r="A6" s="13" t="s">
        <v>94</v>
      </c>
      <c r="B6" s="14">
        <v>1</v>
      </c>
      <c r="C6" s="14">
        <v>0</v>
      </c>
      <c r="D6" s="14">
        <v>1</v>
      </c>
    </row>
    <row r="7" spans="1:24" x14ac:dyDescent="0.35">
      <c r="A7" s="13" t="s">
        <v>141</v>
      </c>
      <c r="B7" s="14">
        <v>1</v>
      </c>
      <c r="C7" s="14">
        <v>0</v>
      </c>
      <c r="D7" s="14">
        <v>1</v>
      </c>
    </row>
    <row r="8" spans="1:24" x14ac:dyDescent="0.35">
      <c r="A8" s="13" t="s">
        <v>98</v>
      </c>
      <c r="B8" s="14">
        <v>1</v>
      </c>
      <c r="C8" s="14">
        <v>0</v>
      </c>
      <c r="D8" s="14">
        <v>1</v>
      </c>
    </row>
    <row r="9" spans="1:24" x14ac:dyDescent="0.35">
      <c r="A9" s="13" t="s">
        <v>159</v>
      </c>
      <c r="B9" s="14">
        <v>1</v>
      </c>
      <c r="C9" s="14">
        <v>0</v>
      </c>
      <c r="D9" s="14">
        <v>1</v>
      </c>
    </row>
    <row r="10" spans="1:24" x14ac:dyDescent="0.35">
      <c r="A10" s="13" t="s">
        <v>170</v>
      </c>
      <c r="B10" s="14">
        <v>1</v>
      </c>
      <c r="C10" s="14">
        <v>0</v>
      </c>
      <c r="D10" s="14">
        <v>1</v>
      </c>
    </row>
    <row r="11" spans="1:24" x14ac:dyDescent="0.35">
      <c r="A11" s="13" t="s">
        <v>273</v>
      </c>
      <c r="B11" s="14">
        <v>1</v>
      </c>
      <c r="C11" s="14">
        <v>0</v>
      </c>
      <c r="D11" s="14">
        <v>1</v>
      </c>
    </row>
    <row r="12" spans="1:24" x14ac:dyDescent="0.35">
      <c r="A12" s="13" t="s">
        <v>146</v>
      </c>
      <c r="B12" s="14">
        <v>1</v>
      </c>
      <c r="C12" s="14">
        <v>0</v>
      </c>
      <c r="D12" s="14">
        <v>1</v>
      </c>
    </row>
    <row r="13" spans="1:24" x14ac:dyDescent="0.35">
      <c r="A13" s="13" t="s">
        <v>95</v>
      </c>
      <c r="B13" s="14">
        <v>1</v>
      </c>
      <c r="C13" s="14">
        <v>0</v>
      </c>
      <c r="D13" s="14">
        <v>1</v>
      </c>
    </row>
    <row r="14" spans="1:24" x14ac:dyDescent="0.35">
      <c r="A14" s="13" t="s">
        <v>100</v>
      </c>
      <c r="B14" s="14">
        <v>1</v>
      </c>
      <c r="C14" s="14">
        <v>0</v>
      </c>
      <c r="D14" s="14">
        <v>1</v>
      </c>
    </row>
    <row r="15" spans="1:24" x14ac:dyDescent="0.35">
      <c r="A15" s="13" t="s">
        <v>272</v>
      </c>
      <c r="B15" s="14">
        <v>1</v>
      </c>
      <c r="C15" s="14">
        <v>0</v>
      </c>
      <c r="D15" s="14">
        <v>1</v>
      </c>
    </row>
    <row r="16" spans="1:24" x14ac:dyDescent="0.35">
      <c r="A16" s="13" t="s">
        <v>274</v>
      </c>
      <c r="B16" s="14">
        <v>1</v>
      </c>
      <c r="C16" s="14">
        <v>0</v>
      </c>
      <c r="D16" s="14">
        <v>1</v>
      </c>
    </row>
    <row r="17" spans="1:4" x14ac:dyDescent="0.35">
      <c r="A17" s="13" t="s">
        <v>83</v>
      </c>
      <c r="B17" s="14">
        <v>0.98958333333333337</v>
      </c>
      <c r="C17" s="14">
        <v>1.0416666666666666E-2</v>
      </c>
      <c r="D17" s="14">
        <v>1</v>
      </c>
    </row>
    <row r="18" spans="1:4" x14ac:dyDescent="0.35">
      <c r="A18" s="13" t="s">
        <v>150</v>
      </c>
      <c r="B18" s="14">
        <v>1</v>
      </c>
      <c r="C18" s="14">
        <v>0</v>
      </c>
      <c r="D18" s="14">
        <v>1</v>
      </c>
    </row>
    <row r="19" spans="1:4" x14ac:dyDescent="0.35">
      <c r="A19" s="13" t="s">
        <v>169</v>
      </c>
      <c r="B19" s="14">
        <v>1</v>
      </c>
      <c r="C19" s="14">
        <v>0</v>
      </c>
      <c r="D19" s="14">
        <v>1</v>
      </c>
    </row>
    <row r="20" spans="1:4" x14ac:dyDescent="0.35">
      <c r="A20" s="13" t="s">
        <v>106</v>
      </c>
      <c r="B20" s="14">
        <v>1</v>
      </c>
      <c r="C20" s="14">
        <v>0</v>
      </c>
      <c r="D20" s="14">
        <v>1</v>
      </c>
    </row>
    <row r="21" spans="1:4" x14ac:dyDescent="0.35">
      <c r="A21" s="13" t="s">
        <v>211</v>
      </c>
      <c r="B21" s="14">
        <v>1</v>
      </c>
      <c r="C21" s="14">
        <v>0</v>
      </c>
      <c r="D21" s="14">
        <v>1</v>
      </c>
    </row>
    <row r="22" spans="1:4" x14ac:dyDescent="0.35">
      <c r="A22" s="13" t="s">
        <v>212</v>
      </c>
      <c r="B22" s="14">
        <v>1</v>
      </c>
      <c r="C22" s="14">
        <v>0</v>
      </c>
      <c r="D22" s="14">
        <v>1</v>
      </c>
    </row>
    <row r="23" spans="1:4" x14ac:dyDescent="0.35">
      <c r="A23" s="13" t="s">
        <v>313</v>
      </c>
      <c r="B23" s="14">
        <v>0.99111111111111116</v>
      </c>
      <c r="C23" s="14">
        <v>8.8888888888888889E-3</v>
      </c>
      <c r="D23" s="14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EC80C-5B4E-469F-A5E9-78E128A7806D}">
  <dimension ref="A1:X6"/>
  <sheetViews>
    <sheetView zoomScale="81" workbookViewId="0">
      <selection activeCell="C14" sqref="C14"/>
    </sheetView>
  </sheetViews>
  <sheetFormatPr defaultRowHeight="14.5" x14ac:dyDescent="0.35"/>
  <cols>
    <col min="1" max="1" width="16.7265625" customWidth="1"/>
  </cols>
  <sheetData>
    <row r="1" spans="1:24" ht="29" customHeight="1" x14ac:dyDescent="0.5">
      <c r="A1" s="7" t="s">
        <v>329</v>
      </c>
      <c r="B1" s="7"/>
      <c r="C1" s="8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3" spans="1:24" x14ac:dyDescent="0.35">
      <c r="A3" s="10" t="s">
        <v>325</v>
      </c>
      <c r="B3" s="10">
        <f>COUNTIF(original_data!E1:E226, "Returned")</f>
        <v>2</v>
      </c>
    </row>
    <row r="4" spans="1:24" x14ac:dyDescent="0.35">
      <c r="A4" s="10" t="s">
        <v>324</v>
      </c>
      <c r="B4" s="10">
        <f>B5-B3</f>
        <v>223</v>
      </c>
    </row>
    <row r="5" spans="1:24" x14ac:dyDescent="0.35">
      <c r="A5" s="10" t="s">
        <v>321</v>
      </c>
      <c r="B5" s="10">
        <v>225</v>
      </c>
    </row>
    <row r="6" spans="1:24" x14ac:dyDescent="0.35">
      <c r="A6" s="11" t="s">
        <v>320</v>
      </c>
      <c r="B6" s="11">
        <f>B3/B5</f>
        <v>8.8888888888888889E-3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6F76B-A986-4742-B71D-CF1BEF96BBBD}">
  <dimension ref="A1:E55"/>
  <sheetViews>
    <sheetView workbookViewId="0">
      <selection activeCell="D4" sqref="D2:D18"/>
      <pivotSelection pane="bottomRight" showHeader="1" axis="axisRow" activeRow="3" activeCol="3" previousRow="3" previousCol="3" click="1" r:id="rId2">
        <pivotArea dataOnly="0" labelOnly="1" fieldPosition="0">
          <references count="1">
            <reference field="2" count="0"/>
          </references>
        </pivotArea>
      </pivotSelection>
    </sheetView>
  </sheetViews>
  <sheetFormatPr defaultRowHeight="14.5" x14ac:dyDescent="0.35"/>
  <cols>
    <col min="1" max="1" width="12.7265625" bestFit="1" customWidth="1"/>
    <col min="2" max="2" width="23.08984375" bestFit="1" customWidth="1"/>
    <col min="4" max="4" width="14.81640625" customWidth="1"/>
    <col min="5" max="5" width="23" customWidth="1"/>
  </cols>
  <sheetData>
    <row r="1" spans="1:5" x14ac:dyDescent="0.35">
      <c r="A1" s="12" t="s">
        <v>312</v>
      </c>
      <c r="B1" t="s">
        <v>333</v>
      </c>
      <c r="D1" s="12" t="s">
        <v>312</v>
      </c>
      <c r="E1" t="s">
        <v>357</v>
      </c>
    </row>
    <row r="2" spans="1:5" x14ac:dyDescent="0.35">
      <c r="A2" s="13" t="s">
        <v>270</v>
      </c>
      <c r="B2">
        <v>2</v>
      </c>
      <c r="D2" s="13" t="s">
        <v>351</v>
      </c>
      <c r="E2">
        <v>2</v>
      </c>
    </row>
    <row r="3" spans="1:5" x14ac:dyDescent="0.35">
      <c r="A3" s="13" t="s">
        <v>290</v>
      </c>
      <c r="B3">
        <v>1</v>
      </c>
      <c r="D3" s="13" t="s">
        <v>345</v>
      </c>
      <c r="E3">
        <v>2</v>
      </c>
    </row>
    <row r="4" spans="1:5" x14ac:dyDescent="0.35">
      <c r="A4" s="13" t="s">
        <v>130</v>
      </c>
      <c r="B4">
        <v>4</v>
      </c>
      <c r="D4" s="13" t="s">
        <v>349</v>
      </c>
      <c r="E4">
        <v>30</v>
      </c>
    </row>
    <row r="5" spans="1:5" x14ac:dyDescent="0.35">
      <c r="A5" s="13" t="s">
        <v>154</v>
      </c>
      <c r="B5">
        <v>1</v>
      </c>
      <c r="D5" s="13" t="s">
        <v>343</v>
      </c>
      <c r="E5">
        <v>3</v>
      </c>
    </row>
    <row r="6" spans="1:5" x14ac:dyDescent="0.35">
      <c r="A6" s="13" t="s">
        <v>286</v>
      </c>
      <c r="B6">
        <v>1</v>
      </c>
      <c r="D6" s="13" t="s">
        <v>350</v>
      </c>
      <c r="E6">
        <v>8</v>
      </c>
    </row>
    <row r="7" spans="1:5" x14ac:dyDescent="0.35">
      <c r="A7" s="13" t="s">
        <v>275</v>
      </c>
      <c r="B7">
        <v>1</v>
      </c>
      <c r="D7" s="13" t="s">
        <v>355</v>
      </c>
      <c r="E7">
        <v>1</v>
      </c>
    </row>
    <row r="8" spans="1:5" x14ac:dyDescent="0.35">
      <c r="A8" s="13" t="s">
        <v>103</v>
      </c>
      <c r="B8">
        <v>1</v>
      </c>
      <c r="D8" s="13" t="s">
        <v>344</v>
      </c>
      <c r="E8">
        <v>28</v>
      </c>
    </row>
    <row r="9" spans="1:5" x14ac:dyDescent="0.35">
      <c r="A9" s="13" t="s">
        <v>171</v>
      </c>
      <c r="B9">
        <v>1</v>
      </c>
      <c r="D9" s="13" t="s">
        <v>346</v>
      </c>
      <c r="E9">
        <v>3</v>
      </c>
    </row>
    <row r="10" spans="1:5" x14ac:dyDescent="0.35">
      <c r="A10" s="13" t="s">
        <v>172</v>
      </c>
      <c r="B10">
        <v>1</v>
      </c>
      <c r="D10" s="13" t="s">
        <v>354</v>
      </c>
      <c r="E10">
        <v>16</v>
      </c>
    </row>
    <row r="11" spans="1:5" x14ac:dyDescent="0.35">
      <c r="A11" s="13" t="s">
        <v>87</v>
      </c>
      <c r="B11">
        <v>27</v>
      </c>
      <c r="D11" s="13" t="s">
        <v>356</v>
      </c>
      <c r="E11">
        <v>1</v>
      </c>
    </row>
    <row r="12" spans="1:5" x14ac:dyDescent="0.35">
      <c r="A12" s="13" t="s">
        <v>102</v>
      </c>
      <c r="B12">
        <v>1</v>
      </c>
      <c r="D12" s="13" t="s">
        <v>342</v>
      </c>
      <c r="E12">
        <v>4</v>
      </c>
    </row>
    <row r="13" spans="1:5" x14ac:dyDescent="0.35">
      <c r="A13" s="13" t="s">
        <v>137</v>
      </c>
      <c r="B13">
        <v>1</v>
      </c>
      <c r="D13" s="13" t="s">
        <v>341</v>
      </c>
      <c r="E13">
        <v>3</v>
      </c>
    </row>
    <row r="14" spans="1:5" x14ac:dyDescent="0.35">
      <c r="A14" s="13" t="s">
        <v>133</v>
      </c>
      <c r="B14">
        <v>1</v>
      </c>
      <c r="D14" s="13" t="s">
        <v>347</v>
      </c>
      <c r="E14">
        <v>5</v>
      </c>
    </row>
    <row r="15" spans="1:5" x14ac:dyDescent="0.35">
      <c r="A15" s="13" t="s">
        <v>138</v>
      </c>
      <c r="B15">
        <v>1</v>
      </c>
      <c r="D15" s="13" t="s">
        <v>352</v>
      </c>
      <c r="E15">
        <v>5</v>
      </c>
    </row>
    <row r="16" spans="1:5" x14ac:dyDescent="0.35">
      <c r="A16" s="13" t="s">
        <v>276</v>
      </c>
      <c r="B16">
        <v>1</v>
      </c>
      <c r="D16" s="13" t="s">
        <v>340</v>
      </c>
      <c r="E16">
        <v>109</v>
      </c>
    </row>
    <row r="17" spans="1:5" x14ac:dyDescent="0.35">
      <c r="A17" s="13" t="s">
        <v>129</v>
      </c>
      <c r="B17">
        <v>1</v>
      </c>
      <c r="D17" s="13" t="s">
        <v>348</v>
      </c>
      <c r="E17">
        <v>3</v>
      </c>
    </row>
    <row r="18" spans="1:5" x14ac:dyDescent="0.35">
      <c r="A18" s="13" t="s">
        <v>132</v>
      </c>
      <c r="B18">
        <v>3</v>
      </c>
      <c r="D18" s="13" t="s">
        <v>353</v>
      </c>
      <c r="E18">
        <v>5</v>
      </c>
    </row>
    <row r="19" spans="1:5" x14ac:dyDescent="0.35">
      <c r="A19" s="13" t="s">
        <v>89</v>
      </c>
      <c r="B19">
        <v>30</v>
      </c>
      <c r="D19" s="13" t="s">
        <v>313</v>
      </c>
      <c r="E19">
        <v>228</v>
      </c>
    </row>
    <row r="20" spans="1:5" x14ac:dyDescent="0.35">
      <c r="A20" s="13" t="s">
        <v>297</v>
      </c>
      <c r="B20">
        <v>1</v>
      </c>
    </row>
    <row r="21" spans="1:5" x14ac:dyDescent="0.35">
      <c r="A21" s="13" t="s">
        <v>82</v>
      </c>
      <c r="B21">
        <v>1</v>
      </c>
    </row>
    <row r="22" spans="1:5" x14ac:dyDescent="0.35">
      <c r="A22" s="13" t="s">
        <v>178</v>
      </c>
      <c r="B22">
        <v>1</v>
      </c>
    </row>
    <row r="23" spans="1:5" x14ac:dyDescent="0.35">
      <c r="A23" s="13" t="s">
        <v>86</v>
      </c>
      <c r="B23">
        <v>7</v>
      </c>
    </row>
    <row r="24" spans="1:5" x14ac:dyDescent="0.35">
      <c r="A24" s="13" t="s">
        <v>299</v>
      </c>
      <c r="B24">
        <v>1</v>
      </c>
    </row>
    <row r="25" spans="1:5" x14ac:dyDescent="0.35">
      <c r="A25" s="13" t="s">
        <v>92</v>
      </c>
      <c r="B25">
        <v>6</v>
      </c>
    </row>
    <row r="26" spans="1:5" x14ac:dyDescent="0.35">
      <c r="A26" s="13" t="s">
        <v>209</v>
      </c>
      <c r="B26">
        <v>1</v>
      </c>
    </row>
    <row r="27" spans="1:5" x14ac:dyDescent="0.35">
      <c r="A27" s="13" t="s">
        <v>131</v>
      </c>
      <c r="B27">
        <v>5</v>
      </c>
    </row>
    <row r="28" spans="1:5" x14ac:dyDescent="0.35">
      <c r="A28" s="13" t="s">
        <v>295</v>
      </c>
      <c r="B28">
        <v>1</v>
      </c>
    </row>
    <row r="29" spans="1:5" x14ac:dyDescent="0.35">
      <c r="A29" s="13" t="s">
        <v>140</v>
      </c>
      <c r="B29">
        <v>1</v>
      </c>
    </row>
    <row r="30" spans="1:5" x14ac:dyDescent="0.35">
      <c r="A30" s="13" t="s">
        <v>160</v>
      </c>
      <c r="B30">
        <v>1</v>
      </c>
    </row>
    <row r="31" spans="1:5" x14ac:dyDescent="0.35">
      <c r="A31" s="13" t="s">
        <v>105</v>
      </c>
      <c r="B31">
        <v>1</v>
      </c>
    </row>
    <row r="32" spans="1:5" x14ac:dyDescent="0.35">
      <c r="A32" s="13" t="s">
        <v>208</v>
      </c>
      <c r="B32">
        <v>1</v>
      </c>
    </row>
    <row r="33" spans="1:2" x14ac:dyDescent="0.35">
      <c r="A33" s="13" t="s">
        <v>135</v>
      </c>
      <c r="B33">
        <v>1</v>
      </c>
    </row>
    <row r="34" spans="1:2" x14ac:dyDescent="0.35">
      <c r="A34" s="13" t="s">
        <v>214</v>
      </c>
      <c r="B34">
        <v>1</v>
      </c>
    </row>
    <row r="35" spans="1:2" x14ac:dyDescent="0.35">
      <c r="A35" s="13" t="s">
        <v>282</v>
      </c>
      <c r="B35">
        <v>1</v>
      </c>
    </row>
    <row r="36" spans="1:2" x14ac:dyDescent="0.35">
      <c r="A36" s="13" t="s">
        <v>96</v>
      </c>
      <c r="B36">
        <v>5</v>
      </c>
    </row>
    <row r="37" spans="1:2" x14ac:dyDescent="0.35">
      <c r="A37" s="13" t="s">
        <v>88</v>
      </c>
      <c r="B37">
        <v>59</v>
      </c>
    </row>
    <row r="38" spans="1:2" x14ac:dyDescent="0.35">
      <c r="A38" s="13" t="s">
        <v>271</v>
      </c>
      <c r="B38">
        <v>1</v>
      </c>
    </row>
    <row r="39" spans="1:2" x14ac:dyDescent="0.35">
      <c r="A39" s="13" t="s">
        <v>148</v>
      </c>
      <c r="B39">
        <v>1</v>
      </c>
    </row>
    <row r="40" spans="1:2" x14ac:dyDescent="0.35">
      <c r="A40" s="13" t="s">
        <v>91</v>
      </c>
      <c r="B40">
        <v>10</v>
      </c>
    </row>
    <row r="41" spans="1:2" x14ac:dyDescent="0.35">
      <c r="A41" s="13" t="s">
        <v>101</v>
      </c>
      <c r="B41">
        <v>1</v>
      </c>
    </row>
    <row r="42" spans="1:2" x14ac:dyDescent="0.35">
      <c r="A42" s="13" t="s">
        <v>90</v>
      </c>
      <c r="B42">
        <v>19</v>
      </c>
    </row>
    <row r="43" spans="1:2" x14ac:dyDescent="0.35">
      <c r="A43" s="13" t="s">
        <v>296</v>
      </c>
      <c r="B43">
        <v>1</v>
      </c>
    </row>
    <row r="44" spans="1:2" x14ac:dyDescent="0.35">
      <c r="A44" s="13" t="s">
        <v>144</v>
      </c>
      <c r="B44">
        <v>1</v>
      </c>
    </row>
    <row r="45" spans="1:2" x14ac:dyDescent="0.35">
      <c r="A45" s="13" t="s">
        <v>97</v>
      </c>
      <c r="B45">
        <v>5</v>
      </c>
    </row>
    <row r="46" spans="1:2" x14ac:dyDescent="0.35">
      <c r="A46" s="13" t="s">
        <v>277</v>
      </c>
      <c r="B46">
        <v>1</v>
      </c>
    </row>
    <row r="47" spans="1:2" x14ac:dyDescent="0.35">
      <c r="A47" s="13" t="s">
        <v>151</v>
      </c>
      <c r="B47">
        <v>1</v>
      </c>
    </row>
    <row r="48" spans="1:2" x14ac:dyDescent="0.35">
      <c r="A48" s="13" t="s">
        <v>99</v>
      </c>
      <c r="B48">
        <v>1</v>
      </c>
    </row>
    <row r="49" spans="1:2" x14ac:dyDescent="0.35">
      <c r="A49" s="13" t="s">
        <v>215</v>
      </c>
      <c r="B49">
        <v>1</v>
      </c>
    </row>
    <row r="50" spans="1:2" x14ac:dyDescent="0.35">
      <c r="A50" s="13" t="s">
        <v>298</v>
      </c>
      <c r="B50">
        <v>1</v>
      </c>
    </row>
    <row r="51" spans="1:2" x14ac:dyDescent="0.35">
      <c r="A51" s="13" t="s">
        <v>136</v>
      </c>
      <c r="B51">
        <v>2</v>
      </c>
    </row>
    <row r="52" spans="1:2" x14ac:dyDescent="0.35">
      <c r="A52" s="13" t="s">
        <v>278</v>
      </c>
      <c r="B52">
        <v>1</v>
      </c>
    </row>
    <row r="53" spans="1:2" x14ac:dyDescent="0.35">
      <c r="A53" s="13" t="s">
        <v>93</v>
      </c>
      <c r="B53">
        <v>1</v>
      </c>
    </row>
    <row r="54" spans="1:2" x14ac:dyDescent="0.35">
      <c r="A54" s="13" t="s">
        <v>134</v>
      </c>
      <c r="B54">
        <v>3</v>
      </c>
    </row>
    <row r="55" spans="1:2" x14ac:dyDescent="0.35">
      <c r="A55" s="13" t="s">
        <v>313</v>
      </c>
      <c r="B55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4645-DDA5-4DC4-B7AF-ACBF8E32B398}">
  <dimension ref="A1:B18"/>
  <sheetViews>
    <sheetView zoomScale="84" workbookViewId="0">
      <selection activeCell="A20" sqref="A20"/>
    </sheetView>
  </sheetViews>
  <sheetFormatPr defaultRowHeight="16" customHeight="1" x14ac:dyDescent="0.35"/>
  <cols>
    <col min="1" max="1" width="15.08984375" bestFit="1" customWidth="1"/>
    <col min="2" max="2" width="23.54296875" bestFit="1" customWidth="1"/>
  </cols>
  <sheetData>
    <row r="1" spans="1:2" ht="16" customHeight="1" x14ac:dyDescent="0.35">
      <c r="A1" s="9" t="s">
        <v>4</v>
      </c>
      <c r="B1" s="9" t="s">
        <v>358</v>
      </c>
    </row>
    <row r="2" spans="1:2" ht="16" customHeight="1" x14ac:dyDescent="0.35">
      <c r="A2" t="s">
        <v>351</v>
      </c>
      <c r="B2">
        <v>2</v>
      </c>
    </row>
    <row r="3" spans="1:2" ht="16" customHeight="1" x14ac:dyDescent="0.35">
      <c r="A3" t="s">
        <v>345</v>
      </c>
      <c r="B3">
        <v>2</v>
      </c>
    </row>
    <row r="4" spans="1:2" ht="16" customHeight="1" x14ac:dyDescent="0.35">
      <c r="A4" t="s">
        <v>349</v>
      </c>
      <c r="B4">
        <v>30</v>
      </c>
    </row>
    <row r="5" spans="1:2" ht="16" customHeight="1" x14ac:dyDescent="0.35">
      <c r="A5" t="s">
        <v>343</v>
      </c>
      <c r="B5">
        <v>3</v>
      </c>
    </row>
    <row r="6" spans="1:2" ht="16" customHeight="1" x14ac:dyDescent="0.35">
      <c r="A6" t="s">
        <v>350</v>
      </c>
      <c r="B6">
        <v>8</v>
      </c>
    </row>
    <row r="7" spans="1:2" ht="16" customHeight="1" x14ac:dyDescent="0.35">
      <c r="A7" t="s">
        <v>355</v>
      </c>
      <c r="B7">
        <v>1</v>
      </c>
    </row>
    <row r="8" spans="1:2" ht="16" customHeight="1" x14ac:dyDescent="0.35">
      <c r="A8" t="s">
        <v>344</v>
      </c>
      <c r="B8">
        <v>28</v>
      </c>
    </row>
    <row r="9" spans="1:2" ht="16" customHeight="1" x14ac:dyDescent="0.35">
      <c r="A9" t="s">
        <v>346</v>
      </c>
      <c r="B9">
        <v>3</v>
      </c>
    </row>
    <row r="10" spans="1:2" ht="16" customHeight="1" x14ac:dyDescent="0.35">
      <c r="A10" t="s">
        <v>354</v>
      </c>
      <c r="B10">
        <v>16</v>
      </c>
    </row>
    <row r="11" spans="1:2" ht="16" customHeight="1" x14ac:dyDescent="0.35">
      <c r="A11" t="s">
        <v>356</v>
      </c>
      <c r="B11">
        <v>1</v>
      </c>
    </row>
    <row r="12" spans="1:2" ht="16" customHeight="1" x14ac:dyDescent="0.35">
      <c r="A12" t="s">
        <v>342</v>
      </c>
      <c r="B12">
        <v>4</v>
      </c>
    </row>
    <row r="13" spans="1:2" ht="16" customHeight="1" x14ac:dyDescent="0.35">
      <c r="A13" t="s">
        <v>341</v>
      </c>
      <c r="B13">
        <v>3</v>
      </c>
    </row>
    <row r="14" spans="1:2" ht="16" customHeight="1" x14ac:dyDescent="0.35">
      <c r="A14" t="s">
        <v>347</v>
      </c>
      <c r="B14">
        <v>5</v>
      </c>
    </row>
    <row r="15" spans="1:2" ht="16" customHeight="1" x14ac:dyDescent="0.35">
      <c r="A15" t="s">
        <v>352</v>
      </c>
      <c r="B15">
        <v>5</v>
      </c>
    </row>
    <row r="16" spans="1:2" ht="16" customHeight="1" x14ac:dyDescent="0.35">
      <c r="A16" t="s">
        <v>340</v>
      </c>
      <c r="B16">
        <v>109</v>
      </c>
    </row>
    <row r="17" spans="1:2" ht="16" customHeight="1" x14ac:dyDescent="0.35">
      <c r="A17" t="s">
        <v>348</v>
      </c>
      <c r="B17">
        <v>3</v>
      </c>
    </row>
    <row r="18" spans="1:2" ht="16" customHeight="1" x14ac:dyDescent="0.35">
      <c r="A18" t="s">
        <v>353</v>
      </c>
      <c r="B18">
        <v>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A46C-A23D-4F82-9AF0-DC26B1E49BC8}">
  <dimension ref="A1:X58"/>
  <sheetViews>
    <sheetView topLeftCell="A54" zoomScale="84" workbookViewId="0">
      <selection activeCell="A7" sqref="A5:A58"/>
    </sheetView>
  </sheetViews>
  <sheetFormatPr defaultRowHeight="14.5" x14ac:dyDescent="0.35"/>
  <cols>
    <col min="1" max="1" width="14.1796875" bestFit="1" customWidth="1"/>
    <col min="2" max="2" width="16" bestFit="1" customWidth="1"/>
    <col min="3" max="3" width="9.08984375" bestFit="1" customWidth="1"/>
    <col min="4" max="4" width="10.90625" bestFit="1" customWidth="1"/>
  </cols>
  <sheetData>
    <row r="1" spans="1:24" ht="29" customHeight="1" x14ac:dyDescent="0.5">
      <c r="A1" s="7" t="s">
        <v>327</v>
      </c>
      <c r="B1" s="7"/>
      <c r="C1" s="8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3" spans="1:24" x14ac:dyDescent="0.35">
      <c r="A3" s="12" t="s">
        <v>323</v>
      </c>
      <c r="B3" s="12" t="s">
        <v>322</v>
      </c>
    </row>
    <row r="4" spans="1:24" x14ac:dyDescent="0.35">
      <c r="A4" s="12" t="s">
        <v>312</v>
      </c>
      <c r="B4" t="s">
        <v>85</v>
      </c>
      <c r="C4" t="s">
        <v>104</v>
      </c>
      <c r="D4" t="s">
        <v>313</v>
      </c>
    </row>
    <row r="5" spans="1:24" x14ac:dyDescent="0.35">
      <c r="A5" s="13" t="s">
        <v>270</v>
      </c>
      <c r="B5" s="14">
        <v>1</v>
      </c>
      <c r="C5" s="14">
        <v>0</v>
      </c>
      <c r="D5" s="14">
        <v>1</v>
      </c>
    </row>
    <row r="6" spans="1:24" x14ac:dyDescent="0.35">
      <c r="A6" s="13" t="s">
        <v>290</v>
      </c>
      <c r="B6" s="14">
        <v>1</v>
      </c>
      <c r="C6" s="14">
        <v>0</v>
      </c>
      <c r="D6" s="14">
        <v>1</v>
      </c>
    </row>
    <row r="7" spans="1:24" x14ac:dyDescent="0.35">
      <c r="A7" s="13" t="s">
        <v>130</v>
      </c>
      <c r="B7" s="14">
        <v>1</v>
      </c>
      <c r="C7" s="14">
        <v>0</v>
      </c>
      <c r="D7" s="14">
        <v>1</v>
      </c>
    </row>
    <row r="8" spans="1:24" x14ac:dyDescent="0.35">
      <c r="A8" s="13" t="s">
        <v>154</v>
      </c>
      <c r="B8" s="14">
        <v>1</v>
      </c>
      <c r="C8" s="14">
        <v>0</v>
      </c>
      <c r="D8" s="14">
        <v>1</v>
      </c>
    </row>
    <row r="9" spans="1:24" x14ac:dyDescent="0.35">
      <c r="A9" s="13" t="s">
        <v>286</v>
      </c>
      <c r="B9" s="14">
        <v>1</v>
      </c>
      <c r="C9" s="14">
        <v>0</v>
      </c>
      <c r="D9" s="14">
        <v>1</v>
      </c>
    </row>
    <row r="10" spans="1:24" x14ac:dyDescent="0.35">
      <c r="A10" s="13" t="s">
        <v>275</v>
      </c>
      <c r="B10" s="14">
        <v>1</v>
      </c>
      <c r="C10" s="14">
        <v>0</v>
      </c>
      <c r="D10" s="14">
        <v>1</v>
      </c>
    </row>
    <row r="11" spans="1:24" x14ac:dyDescent="0.35">
      <c r="A11" s="13" t="s">
        <v>103</v>
      </c>
      <c r="B11" s="14">
        <v>1</v>
      </c>
      <c r="C11" s="14">
        <v>0</v>
      </c>
      <c r="D11" s="14">
        <v>1</v>
      </c>
    </row>
    <row r="12" spans="1:24" x14ac:dyDescent="0.35">
      <c r="A12" s="13" t="s">
        <v>171</v>
      </c>
      <c r="B12" s="14">
        <v>1</v>
      </c>
      <c r="C12" s="14">
        <v>0</v>
      </c>
      <c r="D12" s="14">
        <v>1</v>
      </c>
    </row>
    <row r="13" spans="1:24" x14ac:dyDescent="0.35">
      <c r="A13" s="13" t="s">
        <v>172</v>
      </c>
      <c r="B13" s="14">
        <v>1</v>
      </c>
      <c r="C13" s="14">
        <v>0</v>
      </c>
      <c r="D13" s="14">
        <v>1</v>
      </c>
    </row>
    <row r="14" spans="1:24" x14ac:dyDescent="0.35">
      <c r="A14" s="13" t="s">
        <v>87</v>
      </c>
      <c r="B14" s="14">
        <v>1</v>
      </c>
      <c r="C14" s="14">
        <v>0</v>
      </c>
      <c r="D14" s="14">
        <v>1</v>
      </c>
    </row>
    <row r="15" spans="1:24" x14ac:dyDescent="0.35">
      <c r="A15" s="13" t="s">
        <v>102</v>
      </c>
      <c r="B15" s="14">
        <v>1</v>
      </c>
      <c r="C15" s="14">
        <v>0</v>
      </c>
      <c r="D15" s="14">
        <v>1</v>
      </c>
    </row>
    <row r="16" spans="1:24" x14ac:dyDescent="0.35">
      <c r="A16" s="13" t="s">
        <v>137</v>
      </c>
      <c r="B16" s="14">
        <v>1</v>
      </c>
      <c r="C16" s="14">
        <v>0</v>
      </c>
      <c r="D16" s="14">
        <v>1</v>
      </c>
    </row>
    <row r="17" spans="1:4" x14ac:dyDescent="0.35">
      <c r="A17" s="13" t="s">
        <v>133</v>
      </c>
      <c r="B17" s="14">
        <v>1</v>
      </c>
      <c r="C17" s="14">
        <v>0</v>
      </c>
      <c r="D17" s="14">
        <v>1</v>
      </c>
    </row>
    <row r="18" spans="1:4" x14ac:dyDescent="0.35">
      <c r="A18" s="13" t="s">
        <v>138</v>
      </c>
      <c r="B18" s="14">
        <v>1</v>
      </c>
      <c r="C18" s="14">
        <v>0</v>
      </c>
      <c r="D18" s="14">
        <v>1</v>
      </c>
    </row>
    <row r="19" spans="1:4" x14ac:dyDescent="0.35">
      <c r="A19" s="13" t="s">
        <v>276</v>
      </c>
      <c r="B19" s="14">
        <v>1</v>
      </c>
      <c r="C19" s="14">
        <v>0</v>
      </c>
      <c r="D19" s="14">
        <v>1</v>
      </c>
    </row>
    <row r="20" spans="1:4" x14ac:dyDescent="0.35">
      <c r="A20" s="13" t="s">
        <v>129</v>
      </c>
      <c r="B20" s="14">
        <v>1</v>
      </c>
      <c r="C20" s="14">
        <v>0</v>
      </c>
      <c r="D20" s="14">
        <v>1</v>
      </c>
    </row>
    <row r="21" spans="1:4" x14ac:dyDescent="0.35">
      <c r="A21" s="13" t="s">
        <v>132</v>
      </c>
      <c r="B21" s="14">
        <v>1</v>
      </c>
      <c r="C21" s="14">
        <v>0</v>
      </c>
      <c r="D21" s="14">
        <v>1</v>
      </c>
    </row>
    <row r="22" spans="1:4" x14ac:dyDescent="0.35">
      <c r="A22" s="13" t="s">
        <v>89</v>
      </c>
      <c r="B22" s="14">
        <v>1</v>
      </c>
      <c r="C22" s="14">
        <v>0</v>
      </c>
      <c r="D22" s="14">
        <v>1</v>
      </c>
    </row>
    <row r="23" spans="1:4" x14ac:dyDescent="0.35">
      <c r="A23" s="13" t="s">
        <v>297</v>
      </c>
      <c r="B23" s="14">
        <v>1</v>
      </c>
      <c r="C23" s="14">
        <v>0</v>
      </c>
      <c r="D23" s="14">
        <v>1</v>
      </c>
    </row>
    <row r="24" spans="1:4" x14ac:dyDescent="0.35">
      <c r="A24" s="13" t="s">
        <v>82</v>
      </c>
      <c r="B24" s="14">
        <v>1</v>
      </c>
      <c r="C24" s="14">
        <v>0</v>
      </c>
      <c r="D24" s="14">
        <v>1</v>
      </c>
    </row>
    <row r="25" spans="1:4" x14ac:dyDescent="0.35">
      <c r="A25" s="13" t="s">
        <v>178</v>
      </c>
      <c r="B25" s="14">
        <v>1</v>
      </c>
      <c r="C25" s="14">
        <v>0</v>
      </c>
      <c r="D25" s="14">
        <v>1</v>
      </c>
    </row>
    <row r="26" spans="1:4" x14ac:dyDescent="0.35">
      <c r="A26" s="13" t="s">
        <v>86</v>
      </c>
      <c r="B26" s="14">
        <v>1</v>
      </c>
      <c r="C26" s="14">
        <v>0</v>
      </c>
      <c r="D26" s="14">
        <v>1</v>
      </c>
    </row>
    <row r="27" spans="1:4" x14ac:dyDescent="0.35">
      <c r="A27" s="13" t="s">
        <v>299</v>
      </c>
      <c r="B27" s="14">
        <v>1</v>
      </c>
      <c r="C27" s="14">
        <v>0</v>
      </c>
      <c r="D27" s="14">
        <v>1</v>
      </c>
    </row>
    <row r="28" spans="1:4" x14ac:dyDescent="0.35">
      <c r="A28" s="13" t="s">
        <v>92</v>
      </c>
      <c r="B28" s="14">
        <v>1</v>
      </c>
      <c r="C28" s="14">
        <v>0</v>
      </c>
      <c r="D28" s="14">
        <v>1</v>
      </c>
    </row>
    <row r="29" spans="1:4" x14ac:dyDescent="0.35">
      <c r="A29" s="13" t="s">
        <v>209</v>
      </c>
      <c r="B29" s="14">
        <v>1</v>
      </c>
      <c r="C29" s="14">
        <v>0</v>
      </c>
      <c r="D29" s="14">
        <v>1</v>
      </c>
    </row>
    <row r="30" spans="1:4" x14ac:dyDescent="0.35">
      <c r="A30" s="13" t="s">
        <v>131</v>
      </c>
      <c r="B30" s="14">
        <v>1</v>
      </c>
      <c r="C30" s="14">
        <v>0</v>
      </c>
      <c r="D30" s="14">
        <v>1</v>
      </c>
    </row>
    <row r="31" spans="1:4" x14ac:dyDescent="0.35">
      <c r="A31" s="13" t="s">
        <v>295</v>
      </c>
      <c r="B31" s="14">
        <v>1</v>
      </c>
      <c r="C31" s="14">
        <v>0</v>
      </c>
      <c r="D31" s="14">
        <v>1</v>
      </c>
    </row>
    <row r="32" spans="1:4" x14ac:dyDescent="0.35">
      <c r="A32" s="13" t="s">
        <v>140</v>
      </c>
      <c r="B32" s="14">
        <v>1</v>
      </c>
      <c r="C32" s="14">
        <v>0</v>
      </c>
      <c r="D32" s="14">
        <v>1</v>
      </c>
    </row>
    <row r="33" spans="1:4" x14ac:dyDescent="0.35">
      <c r="A33" s="13" t="s">
        <v>160</v>
      </c>
      <c r="B33" s="14">
        <v>1</v>
      </c>
      <c r="C33" s="14">
        <v>0</v>
      </c>
      <c r="D33" s="14">
        <v>1</v>
      </c>
    </row>
    <row r="34" spans="1:4" x14ac:dyDescent="0.35">
      <c r="A34" s="13" t="s">
        <v>105</v>
      </c>
      <c r="B34" s="14">
        <v>0</v>
      </c>
      <c r="C34" s="14">
        <v>1</v>
      </c>
      <c r="D34" s="14">
        <v>1</v>
      </c>
    </row>
    <row r="35" spans="1:4" x14ac:dyDescent="0.35">
      <c r="A35" s="13" t="s">
        <v>208</v>
      </c>
      <c r="B35" s="14">
        <v>1</v>
      </c>
      <c r="C35" s="14">
        <v>0</v>
      </c>
      <c r="D35" s="14">
        <v>1</v>
      </c>
    </row>
    <row r="36" spans="1:4" x14ac:dyDescent="0.35">
      <c r="A36" s="13" t="s">
        <v>135</v>
      </c>
      <c r="B36" s="14">
        <v>1</v>
      </c>
      <c r="C36" s="14">
        <v>0</v>
      </c>
      <c r="D36" s="14">
        <v>1</v>
      </c>
    </row>
    <row r="37" spans="1:4" x14ac:dyDescent="0.35">
      <c r="A37" s="13" t="s">
        <v>214</v>
      </c>
      <c r="B37" s="14">
        <v>1</v>
      </c>
      <c r="C37" s="14">
        <v>0</v>
      </c>
      <c r="D37" s="14">
        <v>1</v>
      </c>
    </row>
    <row r="38" spans="1:4" x14ac:dyDescent="0.35">
      <c r="A38" s="13" t="s">
        <v>282</v>
      </c>
      <c r="B38" s="14">
        <v>1</v>
      </c>
      <c r="C38" s="14">
        <v>0</v>
      </c>
      <c r="D38" s="14">
        <v>1</v>
      </c>
    </row>
    <row r="39" spans="1:4" x14ac:dyDescent="0.35">
      <c r="A39" s="13" t="s">
        <v>96</v>
      </c>
      <c r="B39" s="14">
        <v>1</v>
      </c>
      <c r="C39" s="14">
        <v>0</v>
      </c>
      <c r="D39" s="14">
        <v>1</v>
      </c>
    </row>
    <row r="40" spans="1:4" x14ac:dyDescent="0.35">
      <c r="A40" s="13" t="s">
        <v>88</v>
      </c>
      <c r="B40" s="14">
        <v>1</v>
      </c>
      <c r="C40" s="14">
        <v>0</v>
      </c>
      <c r="D40" s="14">
        <v>1</v>
      </c>
    </row>
    <row r="41" spans="1:4" x14ac:dyDescent="0.35">
      <c r="A41" s="13" t="s">
        <v>271</v>
      </c>
      <c r="B41" s="14">
        <v>1</v>
      </c>
      <c r="C41" s="14">
        <v>0</v>
      </c>
      <c r="D41" s="14">
        <v>1</v>
      </c>
    </row>
    <row r="42" spans="1:4" x14ac:dyDescent="0.35">
      <c r="A42" s="13" t="s">
        <v>148</v>
      </c>
      <c r="B42" s="14">
        <v>1</v>
      </c>
      <c r="C42" s="14">
        <v>0</v>
      </c>
      <c r="D42" s="14">
        <v>1</v>
      </c>
    </row>
    <row r="43" spans="1:4" x14ac:dyDescent="0.35">
      <c r="A43" s="13" t="s">
        <v>91</v>
      </c>
      <c r="B43" s="14">
        <v>1</v>
      </c>
      <c r="C43" s="14">
        <v>0</v>
      </c>
      <c r="D43" s="14">
        <v>1</v>
      </c>
    </row>
    <row r="44" spans="1:4" x14ac:dyDescent="0.35">
      <c r="A44" s="13" t="s">
        <v>101</v>
      </c>
      <c r="B44" s="14">
        <v>1</v>
      </c>
      <c r="C44" s="14">
        <v>0</v>
      </c>
      <c r="D44" s="14">
        <v>1</v>
      </c>
    </row>
    <row r="45" spans="1:4" x14ac:dyDescent="0.35">
      <c r="A45" s="13" t="s">
        <v>90</v>
      </c>
      <c r="B45" s="14">
        <v>0.94736842105263153</v>
      </c>
      <c r="C45" s="14">
        <v>5.2631578947368418E-2</v>
      </c>
      <c r="D45" s="14">
        <v>1</v>
      </c>
    </row>
    <row r="46" spans="1:4" x14ac:dyDescent="0.35">
      <c r="A46" s="13" t="s">
        <v>296</v>
      </c>
      <c r="B46" s="14">
        <v>1</v>
      </c>
      <c r="C46" s="14">
        <v>0</v>
      </c>
      <c r="D46" s="14">
        <v>1</v>
      </c>
    </row>
    <row r="47" spans="1:4" x14ac:dyDescent="0.35">
      <c r="A47" s="13" t="s">
        <v>144</v>
      </c>
      <c r="B47" s="14">
        <v>1</v>
      </c>
      <c r="C47" s="14">
        <v>0</v>
      </c>
      <c r="D47" s="14">
        <v>1</v>
      </c>
    </row>
    <row r="48" spans="1:4" x14ac:dyDescent="0.35">
      <c r="A48" s="13" t="s">
        <v>97</v>
      </c>
      <c r="B48" s="14">
        <v>1</v>
      </c>
      <c r="C48" s="14">
        <v>0</v>
      </c>
      <c r="D48" s="14">
        <v>1</v>
      </c>
    </row>
    <row r="49" spans="1:4" x14ac:dyDescent="0.35">
      <c r="A49" s="13" t="s">
        <v>277</v>
      </c>
      <c r="B49" s="14">
        <v>1</v>
      </c>
      <c r="C49" s="14">
        <v>0</v>
      </c>
      <c r="D49" s="14">
        <v>1</v>
      </c>
    </row>
    <row r="50" spans="1:4" x14ac:dyDescent="0.35">
      <c r="A50" s="13" t="s">
        <v>151</v>
      </c>
      <c r="B50" s="14">
        <v>1</v>
      </c>
      <c r="C50" s="14">
        <v>0</v>
      </c>
      <c r="D50" s="14">
        <v>1</v>
      </c>
    </row>
    <row r="51" spans="1:4" x14ac:dyDescent="0.35">
      <c r="A51" s="13" t="s">
        <v>99</v>
      </c>
      <c r="B51" s="14">
        <v>1</v>
      </c>
      <c r="C51" s="14">
        <v>0</v>
      </c>
      <c r="D51" s="14">
        <v>1</v>
      </c>
    </row>
    <row r="52" spans="1:4" x14ac:dyDescent="0.35">
      <c r="A52" s="13" t="s">
        <v>215</v>
      </c>
      <c r="B52" s="14">
        <v>1</v>
      </c>
      <c r="C52" s="14">
        <v>0</v>
      </c>
      <c r="D52" s="14">
        <v>1</v>
      </c>
    </row>
    <row r="53" spans="1:4" x14ac:dyDescent="0.35">
      <c r="A53" s="13" t="s">
        <v>298</v>
      </c>
      <c r="B53" s="14">
        <v>1</v>
      </c>
      <c r="C53" s="14">
        <v>0</v>
      </c>
      <c r="D53" s="14">
        <v>1</v>
      </c>
    </row>
    <row r="54" spans="1:4" x14ac:dyDescent="0.35">
      <c r="A54" s="13" t="s">
        <v>136</v>
      </c>
      <c r="B54" s="14">
        <v>1</v>
      </c>
      <c r="C54" s="14">
        <v>0</v>
      </c>
      <c r="D54" s="14">
        <v>1</v>
      </c>
    </row>
    <row r="55" spans="1:4" x14ac:dyDescent="0.35">
      <c r="A55" s="13" t="s">
        <v>278</v>
      </c>
      <c r="B55" s="14">
        <v>1</v>
      </c>
      <c r="C55" s="14">
        <v>0</v>
      </c>
      <c r="D55" s="14">
        <v>1</v>
      </c>
    </row>
    <row r="56" spans="1:4" x14ac:dyDescent="0.35">
      <c r="A56" s="13" t="s">
        <v>93</v>
      </c>
      <c r="B56" s="14">
        <v>1</v>
      </c>
      <c r="C56" s="14">
        <v>0</v>
      </c>
      <c r="D56" s="14">
        <v>1</v>
      </c>
    </row>
    <row r="57" spans="1:4" x14ac:dyDescent="0.35">
      <c r="A57" s="13" t="s">
        <v>134</v>
      </c>
      <c r="B57" s="14">
        <v>1</v>
      </c>
      <c r="C57" s="14">
        <v>0</v>
      </c>
      <c r="D57" s="14">
        <v>1</v>
      </c>
    </row>
    <row r="58" spans="1:4" x14ac:dyDescent="0.35">
      <c r="A58" s="13" t="s">
        <v>313</v>
      </c>
      <c r="B58" s="14">
        <v>0.99111111111111116</v>
      </c>
      <c r="C58" s="14">
        <v>8.8888888888888889E-3</v>
      </c>
      <c r="D58" s="14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99856-60B7-4B60-B393-A32FC9059330}">
  <dimension ref="A1:X7"/>
  <sheetViews>
    <sheetView zoomScale="88" workbookViewId="0">
      <selection activeCell="R15" sqref="R15"/>
    </sheetView>
  </sheetViews>
  <sheetFormatPr defaultRowHeight="14.5" x14ac:dyDescent="0.35"/>
  <cols>
    <col min="1" max="1" width="13.90625" bestFit="1" customWidth="1"/>
    <col min="2" max="2" width="15.26953125" bestFit="1" customWidth="1"/>
    <col min="3" max="3" width="8.6328125" bestFit="1" customWidth="1"/>
    <col min="4" max="4" width="10.7265625" bestFit="1" customWidth="1"/>
  </cols>
  <sheetData>
    <row r="1" spans="1:24" ht="29" customHeight="1" x14ac:dyDescent="0.5">
      <c r="A1" s="7" t="s">
        <v>328</v>
      </c>
      <c r="B1" s="7"/>
      <c r="C1" s="8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3" spans="1:24" x14ac:dyDescent="0.35">
      <c r="A3" s="12" t="s">
        <v>323</v>
      </c>
      <c r="B3" s="12" t="s">
        <v>322</v>
      </c>
    </row>
    <row r="4" spans="1:24" x14ac:dyDescent="0.35">
      <c r="A4" s="12" t="s">
        <v>312</v>
      </c>
      <c r="B4" t="s">
        <v>85</v>
      </c>
      <c r="C4" t="s">
        <v>104</v>
      </c>
      <c r="D4" t="s">
        <v>313</v>
      </c>
    </row>
    <row r="5" spans="1:24" x14ac:dyDescent="0.35">
      <c r="A5" s="13" t="s">
        <v>142</v>
      </c>
      <c r="B5" s="14">
        <v>1</v>
      </c>
      <c r="C5" s="14">
        <v>0</v>
      </c>
      <c r="D5" s="14">
        <v>1</v>
      </c>
    </row>
    <row r="6" spans="1:24" x14ac:dyDescent="0.35">
      <c r="A6" s="13" t="s">
        <v>108</v>
      </c>
      <c r="B6" s="14">
        <v>0.98994974874371855</v>
      </c>
      <c r="C6" s="14">
        <v>1.0050251256281407E-2</v>
      </c>
      <c r="D6" s="14">
        <v>1</v>
      </c>
    </row>
    <row r="7" spans="1:24" x14ac:dyDescent="0.35">
      <c r="A7" s="13" t="s">
        <v>313</v>
      </c>
      <c r="B7" s="14">
        <v>0.99111111111111116</v>
      </c>
      <c r="C7" s="14">
        <v>8.8888888888888889E-3</v>
      </c>
      <c r="D7" s="14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91A68-E144-41AB-8256-71F55CD972AC}">
  <dimension ref="A1:B55"/>
  <sheetViews>
    <sheetView zoomScale="79" workbookViewId="0">
      <selection activeCell="O23" sqref="O23"/>
    </sheetView>
  </sheetViews>
  <sheetFormatPr defaultRowHeight="14.5" x14ac:dyDescent="0.35"/>
  <cols>
    <col min="1" max="1" width="15.453125" bestFit="1" customWidth="1"/>
    <col min="2" max="2" width="23.08984375" bestFit="1" customWidth="1"/>
    <col min="3" max="3" width="16.08984375" customWidth="1"/>
    <col min="4" max="4" width="18.1796875" customWidth="1"/>
    <col min="5" max="5" width="20.1796875" customWidth="1"/>
    <col min="6" max="86" width="10.08984375" bestFit="1" customWidth="1"/>
    <col min="87" max="91" width="10" bestFit="1" customWidth="1"/>
    <col min="92" max="92" width="10.7265625" bestFit="1" customWidth="1"/>
    <col min="93" max="200" width="10.08984375" bestFit="1" customWidth="1"/>
    <col min="201" max="226" width="10" bestFit="1" customWidth="1"/>
    <col min="227" max="227" width="10.7265625" bestFit="1" customWidth="1"/>
  </cols>
  <sheetData>
    <row r="1" spans="1:2" x14ac:dyDescent="0.35">
      <c r="A1" s="17" t="s">
        <v>336</v>
      </c>
      <c r="B1" s="17" t="s">
        <v>330</v>
      </c>
    </row>
    <row r="2" spans="1:2" x14ac:dyDescent="0.35">
      <c r="A2" t="str" cm="1">
        <f t="array" ref="A2:A54">_xlfn.UNIQUE(original_data!$H$2:$H$226,FALSE,FALSE)</f>
        <v>Hyderabad</v>
      </c>
      <c r="B2" s="16">
        <f>VLOOKUP(A2,original_data!H1:O226,7,FALSE)</f>
        <v>2.2000000000000002</v>
      </c>
    </row>
    <row r="3" spans="1:2" x14ac:dyDescent="0.35">
      <c r="A3" t="str">
        <v>Delhi</v>
      </c>
      <c r="B3" s="16">
        <f>VLOOKUP(A3,original_data!H2:O227,7,FALSE)</f>
        <v>1.7</v>
      </c>
    </row>
    <row r="4" spans="1:2" x14ac:dyDescent="0.35">
      <c r="A4" t="str">
        <v>Ghaziabad</v>
      </c>
      <c r="B4" s="16">
        <f>VLOOKUP(A4,original_data!H3:O228,7,FALSE)</f>
        <v>2.1428571428571428</v>
      </c>
    </row>
    <row r="5" spans="1:2" x14ac:dyDescent="0.35">
      <c r="A5" t="str">
        <v>Noida</v>
      </c>
      <c r="B5" s="16">
        <f>VLOOKUP(A5,original_data!H4:O229,7,FALSE)</f>
        <v>2.0555555555555554</v>
      </c>
    </row>
    <row r="6" spans="1:2" x14ac:dyDescent="0.35">
      <c r="A6" t="str">
        <v>Lucknow</v>
      </c>
      <c r="B6" s="16">
        <f>VLOOKUP(A6,original_data!H5:O230,7,FALSE)</f>
        <v>2.406779661016949</v>
      </c>
    </row>
    <row r="7" spans="1:2" x14ac:dyDescent="0.35">
      <c r="A7" t="str">
        <v>Forbesganj</v>
      </c>
      <c r="B7" s="16">
        <f>VLOOKUP(A7,original_data!H6:O231,7,FALSE)</f>
        <v>2</v>
      </c>
    </row>
    <row r="8" spans="1:2" x14ac:dyDescent="0.35">
      <c r="A8" t="str">
        <v>Agra</v>
      </c>
      <c r="B8" s="16">
        <f>VLOOKUP(A8,original_data!H7:O232,7,FALSE)</f>
        <v>2</v>
      </c>
    </row>
    <row r="9" spans="1:2" x14ac:dyDescent="0.35">
      <c r="A9" t="str">
        <v>Mumbai</v>
      </c>
      <c r="B9" s="16">
        <f>VLOOKUP(A9,original_data!H8:O233,7,FALSE)</f>
        <v>3.4</v>
      </c>
    </row>
    <row r="10" spans="1:2" x14ac:dyDescent="0.35">
      <c r="A10" t="str">
        <v>Baharaich</v>
      </c>
      <c r="B10" s="16">
        <f>VLOOKUP(A10,original_data!H9:O234,7,FALSE)</f>
        <v>4</v>
      </c>
    </row>
    <row r="11" spans="1:2" x14ac:dyDescent="0.35">
      <c r="A11" t="str">
        <v>Bangalore</v>
      </c>
      <c r="B11" s="16">
        <f>VLOOKUP(A11,original_data!H10:O235,7,FALSE)</f>
        <v>3.5185185185185186</v>
      </c>
    </row>
    <row r="12" spans="1:2" x14ac:dyDescent="0.35">
      <c r="A12" t="str">
        <v>Pune</v>
      </c>
      <c r="B12" s="16">
        <f>VLOOKUP(A12,original_data!H11:O236,7,FALSE)</f>
        <v>3.6</v>
      </c>
    </row>
    <row r="13" spans="1:2" x14ac:dyDescent="0.35">
      <c r="A13" t="str">
        <v>Madurai</v>
      </c>
      <c r="B13" s="16">
        <f>VLOOKUP(A13,original_data!H12:O237,7,FALSE)</f>
        <v>3</v>
      </c>
    </row>
    <row r="14" spans="1:2" x14ac:dyDescent="0.35">
      <c r="A14" t="str">
        <v>Allahabad</v>
      </c>
      <c r="B14" s="16">
        <f>VLOOKUP(A14,original_data!H13:O238,7,FALSE)</f>
        <v>1.5</v>
      </c>
    </row>
    <row r="15" spans="1:2" x14ac:dyDescent="0.35">
      <c r="A15" t="str">
        <v>Ankleshwar</v>
      </c>
      <c r="B15" s="16">
        <f>VLOOKUP(A15,original_data!H14:O239,7,FALSE)</f>
        <v>12</v>
      </c>
    </row>
    <row r="16" spans="1:2" x14ac:dyDescent="0.35">
      <c r="A16" t="str">
        <v>Jalandhar</v>
      </c>
      <c r="B16" s="16">
        <f>VLOOKUP(A16,original_data!H15:O240,7,FALSE)</f>
        <v>3</v>
      </c>
    </row>
    <row r="17" spans="1:2" x14ac:dyDescent="0.35">
      <c r="A17" t="str">
        <v>Dehradun</v>
      </c>
      <c r="B17" s="16">
        <f>VLOOKUP(A17,original_data!H16:O241,7,FALSE)</f>
        <v>2.3333333333333335</v>
      </c>
    </row>
    <row r="18" spans="1:2" x14ac:dyDescent="0.35">
      <c r="A18" t="str">
        <v>Kolkata</v>
      </c>
      <c r="B18" s="16">
        <f>VLOOKUP(A18,original_data!H17:O242,7,FALSE)</f>
        <v>4.5999999999999996</v>
      </c>
    </row>
    <row r="19" spans="1:2" x14ac:dyDescent="0.35">
      <c r="A19" t="str">
        <v>Bulandeshwar</v>
      </c>
      <c r="B19" s="16">
        <f>VLOOKUP(A19,original_data!H18:O243,7,FALSE)</f>
        <v>3</v>
      </c>
    </row>
    <row r="20" spans="1:2" x14ac:dyDescent="0.35">
      <c r="A20" t="str">
        <v>Ranchi</v>
      </c>
      <c r="B20" s="16">
        <f>VLOOKUP(A20,original_data!H19:O244,7,FALSE)</f>
        <v>3</v>
      </c>
    </row>
    <row r="21" spans="1:2" x14ac:dyDescent="0.35">
      <c r="A21" t="str">
        <v>Trichy</v>
      </c>
      <c r="B21" s="16">
        <f>VLOOKUP(A21,original_data!H20:O245,7,FALSE)</f>
        <v>11</v>
      </c>
    </row>
    <row r="22" spans="1:2" x14ac:dyDescent="0.35">
      <c r="A22" t="str">
        <v>Banda</v>
      </c>
      <c r="B22" s="16">
        <f>VLOOKUP(A22,original_data!H21:O246,7,FALSE)</f>
        <v>4</v>
      </c>
    </row>
    <row r="23" spans="1:2" x14ac:dyDescent="0.35">
      <c r="A23" t="str">
        <v>Moga</v>
      </c>
      <c r="B23" s="16">
        <f>VLOOKUP(A23,original_data!H22:O247,7,FALSE)</f>
        <v>3</v>
      </c>
    </row>
    <row r="24" spans="1:2" x14ac:dyDescent="0.35">
      <c r="A24" t="str">
        <v>Jhansi</v>
      </c>
      <c r="B24" s="16">
        <f>VLOOKUP(A24,original_data!H23:O248,7,FALSE)</f>
        <v>1</v>
      </c>
    </row>
    <row r="25" spans="1:2" x14ac:dyDescent="0.35">
      <c r="A25" t="str">
        <v>Gurgaon</v>
      </c>
      <c r="B25" s="16">
        <f>VLOOKUP(A25,original_data!H24:O249,7,FALSE)</f>
        <v>2.1666666666666665</v>
      </c>
    </row>
    <row r="26" spans="1:2" x14ac:dyDescent="0.35">
      <c r="A26" t="str">
        <v>Rayagada</v>
      </c>
      <c r="B26" s="16">
        <f>VLOOKUP(A26,original_data!H25:O250,7,FALSE)</f>
        <v>4</v>
      </c>
    </row>
    <row r="27" spans="1:2" x14ac:dyDescent="0.35">
      <c r="A27" t="str">
        <v>Phagwara</v>
      </c>
      <c r="B27" s="16">
        <f>VLOOKUP(A27,original_data!H26:O251,7,FALSE)</f>
        <v>2</v>
      </c>
    </row>
    <row r="28" spans="1:2" x14ac:dyDescent="0.35">
      <c r="A28" t="str">
        <v>Alwar</v>
      </c>
      <c r="B28" s="16">
        <f>VLOOKUP(A28,original_data!H27:O252,7,FALSE)</f>
        <v>3</v>
      </c>
    </row>
    <row r="29" spans="1:2" x14ac:dyDescent="0.35">
      <c r="A29" t="str">
        <v>Hardoi</v>
      </c>
      <c r="B29" s="16">
        <f>VLOOKUP(A29,original_data!H28:O253,7,FALSE)</f>
        <v>1</v>
      </c>
    </row>
    <row r="30" spans="1:2" x14ac:dyDescent="0.35">
      <c r="A30" t="str">
        <v>Kannauj</v>
      </c>
      <c r="B30" s="16">
        <f>VLOOKUP(A30,original_data!H29:O254,7,FALSE)</f>
        <v>1</v>
      </c>
    </row>
    <row r="31" spans="1:2" x14ac:dyDescent="0.35">
      <c r="A31" t="str">
        <v>Surat</v>
      </c>
      <c r="B31" s="16">
        <f>VLOOKUP(A31,original_data!H30:O255,7,FALSE)</f>
        <v>3.5</v>
      </c>
    </row>
    <row r="32" spans="1:2" x14ac:dyDescent="0.35">
      <c r="A32" t="str">
        <v>Shahjahanpur</v>
      </c>
      <c r="B32" s="16">
        <f>VLOOKUP(A32,original_data!H31:O256,7,FALSE)</f>
        <v>2</v>
      </c>
    </row>
    <row r="33" spans="1:2" x14ac:dyDescent="0.35">
      <c r="A33" t="str">
        <v>Chennai</v>
      </c>
      <c r="B33" s="16">
        <f>VLOOKUP(A33,original_data!H32:O257,7,FALSE)</f>
        <v>6</v>
      </c>
    </row>
    <row r="34" spans="1:2" x14ac:dyDescent="0.35">
      <c r="A34" t="str">
        <v>Bijnor</v>
      </c>
      <c r="B34" s="16">
        <f>VLOOKUP(A34,original_data!H33:O258,7,FALSE)</f>
        <v>4</v>
      </c>
    </row>
    <row r="35" spans="1:2" x14ac:dyDescent="0.35">
      <c r="A35" t="str">
        <v>Varanasi</v>
      </c>
      <c r="B35" s="16">
        <f>VLOOKUP(A35,original_data!H34:O259,7,FALSE)</f>
        <v>1</v>
      </c>
    </row>
    <row r="36" spans="1:2" x14ac:dyDescent="0.35">
      <c r="A36" t="str">
        <v>Jodhpur</v>
      </c>
      <c r="B36" s="16">
        <f>VLOOKUP(A36,original_data!H35:O260,7,FALSE)</f>
        <v>6</v>
      </c>
    </row>
    <row r="37" spans="1:2" x14ac:dyDescent="0.35">
      <c r="A37" t="str">
        <v>Jabalpur</v>
      </c>
      <c r="B37" s="16">
        <f>VLOOKUP(A37,original_data!H36:O261,7,FALSE)</f>
        <v>5</v>
      </c>
    </row>
    <row r="38" spans="1:2" x14ac:dyDescent="0.35">
      <c r="A38" t="str">
        <v>Bhopal</v>
      </c>
      <c r="B38" s="16">
        <f>VLOOKUP(A38,original_data!H37:O262,7,FALSE)</f>
        <v>4</v>
      </c>
    </row>
    <row r="39" spans="1:2" x14ac:dyDescent="0.35">
      <c r="A39" t="str">
        <v>Bilaspur</v>
      </c>
      <c r="B39" s="16">
        <f>VLOOKUP(A39,original_data!H38:O263,7,FALSE)</f>
        <v>5</v>
      </c>
    </row>
    <row r="40" spans="1:2" x14ac:dyDescent="0.35">
      <c r="A40" t="str">
        <v>Katpadi</v>
      </c>
      <c r="B40" s="16">
        <f>VLOOKUP(A40,original_data!H39:O264,7,FALSE)</f>
        <v>6</v>
      </c>
    </row>
    <row r="41" spans="1:2" x14ac:dyDescent="0.35">
      <c r="A41" t="str">
        <v>Faridabad</v>
      </c>
      <c r="B41" s="16">
        <f>VLOOKUP(A41,original_data!H40:O265,7,FALSE)</f>
        <v>2</v>
      </c>
    </row>
    <row r="42" spans="1:2" x14ac:dyDescent="0.35">
      <c r="A42" t="str">
        <v>Udupi</v>
      </c>
      <c r="B42" s="16">
        <f>VLOOKUP(A42,original_data!H41:O266,7,FALSE)</f>
        <v>3</v>
      </c>
    </row>
    <row r="43" spans="1:2" x14ac:dyDescent="0.35">
      <c r="A43" t="str">
        <v>Patna</v>
      </c>
      <c r="B43" s="16">
        <f>VLOOKUP(A43,original_data!H42:O267,7,FALSE)</f>
        <v>2</v>
      </c>
    </row>
    <row r="44" spans="1:2" x14ac:dyDescent="0.35">
      <c r="A44" t="str">
        <v>Amritsar</v>
      </c>
      <c r="B44" s="16">
        <f>VLOOKUP(A44,original_data!H43:O268,7,FALSE)</f>
        <v>3</v>
      </c>
    </row>
    <row r="45" spans="1:2" x14ac:dyDescent="0.35">
      <c r="A45" t="str">
        <v>Aligarh</v>
      </c>
      <c r="B45" s="16">
        <f>VLOOKUP(A45,original_data!H44:O269,7,FALSE)</f>
        <v>3</v>
      </c>
    </row>
    <row r="46" spans="1:2" x14ac:dyDescent="0.35">
      <c r="A46" t="str">
        <v>Indore</v>
      </c>
      <c r="B46" s="16">
        <f>VLOOKUP(A46,original_data!H45:O270,7,FALSE)</f>
        <v>4</v>
      </c>
    </row>
    <row r="47" spans="1:2" x14ac:dyDescent="0.35">
      <c r="A47" t="str">
        <v>Erode</v>
      </c>
      <c r="B47" s="16">
        <f>VLOOKUP(A47,original_data!H46:O271,7,FALSE)</f>
        <v>3</v>
      </c>
    </row>
    <row r="48" spans="1:2" x14ac:dyDescent="0.35">
      <c r="A48" t="str">
        <v>Sikar</v>
      </c>
      <c r="B48" s="16">
        <f>VLOOKUP(A48,original_data!H47:O272,7,FALSE)</f>
        <v>4</v>
      </c>
    </row>
    <row r="49" spans="1:2" x14ac:dyDescent="0.35">
      <c r="A49" t="str">
        <v>Sahibabad</v>
      </c>
      <c r="B49" s="16">
        <f>VLOOKUP(A49,original_data!H48:O273,7,FALSE)</f>
        <v>5</v>
      </c>
    </row>
    <row r="50" spans="1:2" x14ac:dyDescent="0.35">
      <c r="A50" t="str">
        <v>Nagpur</v>
      </c>
      <c r="B50" s="16">
        <f>VLOOKUP(A50,original_data!H49:O274,7,FALSE)</f>
        <v>6</v>
      </c>
    </row>
    <row r="51" spans="1:2" x14ac:dyDescent="0.35">
      <c r="A51" t="str">
        <v>Bhilai</v>
      </c>
      <c r="B51" s="16">
        <f>VLOOKUP(A51,original_data!H50:O275,7,FALSE)</f>
        <v>10</v>
      </c>
    </row>
    <row r="52" spans="1:2" x14ac:dyDescent="0.35">
      <c r="A52" t="str">
        <v>Auraiya</v>
      </c>
      <c r="B52" s="16">
        <f>VLOOKUP(A52,original_data!H51:O276,7,FALSE)</f>
        <v>3</v>
      </c>
    </row>
    <row r="53" spans="1:2" x14ac:dyDescent="0.35">
      <c r="A53" t="str">
        <v>Jhajjar</v>
      </c>
      <c r="B53" s="16" t="str">
        <f>VLOOKUP(A53,original_data!H52:O277,7,FALSE)</f>
        <v>N.A.</v>
      </c>
    </row>
    <row r="54" spans="1:2" x14ac:dyDescent="0.35">
      <c r="A54" t="str">
        <v>Gorakhpur</v>
      </c>
      <c r="B54" s="16">
        <f>VLOOKUP(A54,original_data!H53:O278,7,FALSE)</f>
        <v>3</v>
      </c>
    </row>
    <row r="55" spans="1:2" x14ac:dyDescent="0.35">
      <c r="B55" s="16" t="e">
        <f>VLOOKUP(A55,original_data!H54:O279,7,FALSE)</f>
        <v>#N/A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94778-4620-4781-8A95-C14094504B1A}">
  <dimension ref="A1:B17"/>
  <sheetViews>
    <sheetView topLeftCell="D1" zoomScale="77" workbookViewId="0">
      <selection activeCell="H14" sqref="H14"/>
    </sheetView>
  </sheetViews>
  <sheetFormatPr defaultRowHeight="14.5" x14ac:dyDescent="0.35"/>
  <cols>
    <col min="1" max="1" width="15.453125" bestFit="1" customWidth="1"/>
    <col min="2" max="2" width="23.08984375" bestFit="1" customWidth="1"/>
  </cols>
  <sheetData>
    <row r="1" spans="1:2" x14ac:dyDescent="0.35">
      <c r="A1" s="12" t="s">
        <v>331</v>
      </c>
      <c r="B1" t="s">
        <v>332</v>
      </c>
    </row>
    <row r="3" spans="1:2" x14ac:dyDescent="0.35">
      <c r="A3" s="12" t="s">
        <v>312</v>
      </c>
      <c r="B3" t="s">
        <v>333</v>
      </c>
    </row>
    <row r="4" spans="1:2" x14ac:dyDescent="0.35">
      <c r="A4" s="13" t="s">
        <v>130</v>
      </c>
      <c r="B4">
        <v>1</v>
      </c>
    </row>
    <row r="5" spans="1:2" x14ac:dyDescent="0.35">
      <c r="A5" s="13" t="s">
        <v>87</v>
      </c>
      <c r="B5">
        <v>12</v>
      </c>
    </row>
    <row r="6" spans="1:2" x14ac:dyDescent="0.35">
      <c r="A6" s="13" t="s">
        <v>132</v>
      </c>
      <c r="B6">
        <v>1</v>
      </c>
    </row>
    <row r="7" spans="1:2" x14ac:dyDescent="0.35">
      <c r="A7" s="13" t="s">
        <v>89</v>
      </c>
      <c r="B7">
        <v>19</v>
      </c>
    </row>
    <row r="8" spans="1:2" x14ac:dyDescent="0.35">
      <c r="A8" s="13" t="s">
        <v>86</v>
      </c>
      <c r="B8">
        <v>2</v>
      </c>
    </row>
    <row r="9" spans="1:2" x14ac:dyDescent="0.35">
      <c r="A9" s="13" t="s">
        <v>92</v>
      </c>
      <c r="B9">
        <v>1</v>
      </c>
    </row>
    <row r="10" spans="1:2" x14ac:dyDescent="0.35">
      <c r="A10" s="13" t="s">
        <v>131</v>
      </c>
      <c r="B10">
        <v>1</v>
      </c>
    </row>
    <row r="11" spans="1:2" x14ac:dyDescent="0.35">
      <c r="A11" s="13" t="s">
        <v>96</v>
      </c>
      <c r="B11">
        <v>2</v>
      </c>
    </row>
    <row r="12" spans="1:2" x14ac:dyDescent="0.35">
      <c r="A12" s="13" t="s">
        <v>88</v>
      </c>
      <c r="B12">
        <v>27</v>
      </c>
    </row>
    <row r="13" spans="1:2" x14ac:dyDescent="0.35">
      <c r="A13" s="13" t="s">
        <v>91</v>
      </c>
      <c r="B13">
        <v>4</v>
      </c>
    </row>
    <row r="14" spans="1:2" x14ac:dyDescent="0.35">
      <c r="A14" s="13" t="s">
        <v>90</v>
      </c>
      <c r="B14">
        <v>4</v>
      </c>
    </row>
    <row r="15" spans="1:2" x14ac:dyDescent="0.35">
      <c r="A15" s="13" t="s">
        <v>97</v>
      </c>
      <c r="B15">
        <v>2</v>
      </c>
    </row>
    <row r="16" spans="1:2" x14ac:dyDescent="0.35">
      <c r="A16" s="13" t="s">
        <v>136</v>
      </c>
      <c r="B16">
        <v>1</v>
      </c>
    </row>
    <row r="17" spans="1:2" x14ac:dyDescent="0.35">
      <c r="A17" s="13" t="s">
        <v>313</v>
      </c>
      <c r="B17">
        <v>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984E6-CA9F-4836-B44D-6299E96F44DB}">
  <sheetPr filterMode="1"/>
  <dimension ref="A1:D69"/>
  <sheetViews>
    <sheetView zoomScale="79" workbookViewId="0">
      <selection activeCell="D3" sqref="D3"/>
    </sheetView>
  </sheetViews>
  <sheetFormatPr defaultRowHeight="14.5" x14ac:dyDescent="0.35"/>
  <cols>
    <col min="1" max="1" width="18.453125" customWidth="1"/>
    <col min="2" max="2" width="21.453125" customWidth="1"/>
    <col min="3" max="3" width="20" customWidth="1"/>
    <col min="4" max="4" width="15.26953125" style="18" customWidth="1"/>
  </cols>
  <sheetData>
    <row r="1" spans="1:4" x14ac:dyDescent="0.35">
      <c r="A1" s="25" t="s">
        <v>336</v>
      </c>
      <c r="B1" s="25" t="s">
        <v>337</v>
      </c>
      <c r="C1" s="25" t="s">
        <v>338</v>
      </c>
      <c r="D1" s="26" t="s">
        <v>339</v>
      </c>
    </row>
    <row r="2" spans="1:4" x14ac:dyDescent="0.35">
      <c r="A2" t="str" cm="1">
        <f t="array" ref="A2:A54">_xlfn.UNIQUE(original_data!H2:H226,FALSE,FALSE)</f>
        <v>Hyderabad</v>
      </c>
      <c r="B2">
        <f>COUNTIF(original_data!H:H,'%delayed_parcels_by_region'!A2)</f>
        <v>5</v>
      </c>
      <c r="C2">
        <f>VLOOKUP(A2,delayed_parcels!$A$4:$B$16,2,FALSE)</f>
        <v>1</v>
      </c>
      <c r="D2" s="18">
        <f>C2/B2</f>
        <v>0.2</v>
      </c>
    </row>
    <row r="3" spans="1:4" x14ac:dyDescent="0.35">
      <c r="A3" t="str">
        <v>Delhi</v>
      </c>
      <c r="B3">
        <f>COUNTIF(original_data!H:H,'%delayed_parcels_by_region'!A3)</f>
        <v>30</v>
      </c>
      <c r="C3">
        <f>VLOOKUP(A3,delayed_parcels!$A$4:$B$16,2,FALSE)</f>
        <v>19</v>
      </c>
      <c r="D3" s="18">
        <f t="shared" ref="D3:D55" si="0">C3/B3</f>
        <v>0.6333333333333333</v>
      </c>
    </row>
    <row r="4" spans="1:4" x14ac:dyDescent="0.35">
      <c r="A4" t="str">
        <v>Ghaziabad</v>
      </c>
      <c r="B4">
        <f>COUNTIF(original_data!H:H,'%delayed_parcels_by_region'!A4)</f>
        <v>7</v>
      </c>
      <c r="C4">
        <f>VLOOKUP(A4,delayed_parcels!$A$4:$B$16,2,FALSE)</f>
        <v>2</v>
      </c>
      <c r="D4" s="18">
        <f t="shared" si="0"/>
        <v>0.2857142857142857</v>
      </c>
    </row>
    <row r="5" spans="1:4" x14ac:dyDescent="0.35">
      <c r="A5" t="str">
        <v>Noida</v>
      </c>
      <c r="B5">
        <f>COUNTIF(original_data!H:H,'%delayed_parcels_by_region'!A5)</f>
        <v>19</v>
      </c>
      <c r="C5">
        <f>VLOOKUP(A5,delayed_parcels!$A$4:$B$16,2,FALSE)</f>
        <v>4</v>
      </c>
      <c r="D5" s="18">
        <f t="shared" si="0"/>
        <v>0.21052631578947367</v>
      </c>
    </row>
    <row r="6" spans="1:4" x14ac:dyDescent="0.35">
      <c r="A6" t="str">
        <v>Lucknow</v>
      </c>
      <c r="B6">
        <f>COUNTIF(original_data!H:H,'%delayed_parcels_by_region'!A6)</f>
        <v>59</v>
      </c>
      <c r="C6">
        <f>VLOOKUP(A6,delayed_parcels!$A$4:$B$16,2,FALSE)</f>
        <v>27</v>
      </c>
      <c r="D6" s="18">
        <f t="shared" si="0"/>
        <v>0.4576271186440678</v>
      </c>
    </row>
    <row r="7" spans="1:4" hidden="1" x14ac:dyDescent="0.35">
      <c r="A7" t="str">
        <v>Forbesganj</v>
      </c>
      <c r="B7">
        <f>COUNTIF(original_data!H:H,'%delayed_parcels_by_region'!A7)</f>
        <v>1</v>
      </c>
      <c r="C7" t="e">
        <f>VLOOKUP(A7,delayed_parcels!$A$4:$B$16,2,FALSE)</f>
        <v>#N/A</v>
      </c>
      <c r="D7" s="18" t="e">
        <f t="shared" si="0"/>
        <v>#N/A</v>
      </c>
    </row>
    <row r="8" spans="1:4" hidden="1" x14ac:dyDescent="0.35">
      <c r="A8" t="str">
        <v>Agra</v>
      </c>
      <c r="B8">
        <f>COUNTIF(original_data!H:H,'%delayed_parcels_by_region'!A8)</f>
        <v>2</v>
      </c>
      <c r="C8" t="e">
        <f>VLOOKUP(A8,delayed_parcels!$A$4:$B$16,2,FALSE)</f>
        <v>#N/A</v>
      </c>
      <c r="D8" s="18" t="e">
        <f t="shared" si="0"/>
        <v>#N/A</v>
      </c>
    </row>
    <row r="9" spans="1:4" x14ac:dyDescent="0.35">
      <c r="A9" t="str">
        <v>Mumbai</v>
      </c>
      <c r="B9">
        <f>COUNTIF(original_data!H:H,'%delayed_parcels_by_region'!A9)</f>
        <v>10</v>
      </c>
      <c r="C9">
        <f>VLOOKUP(A9,delayed_parcels!$A$4:$B$16,2,FALSE)</f>
        <v>4</v>
      </c>
      <c r="D9" s="18">
        <f t="shared" si="0"/>
        <v>0.4</v>
      </c>
    </row>
    <row r="10" spans="1:4" hidden="1" x14ac:dyDescent="0.35">
      <c r="A10" t="str">
        <v>Baharaich</v>
      </c>
      <c r="B10">
        <f>COUNTIF(original_data!H:H,'%delayed_parcels_by_region'!A10)</f>
        <v>1</v>
      </c>
      <c r="C10" t="e">
        <f>VLOOKUP(A10,delayed_parcels!$A$4:$B$16,2,FALSE)</f>
        <v>#N/A</v>
      </c>
      <c r="D10" s="18" t="e">
        <f t="shared" si="0"/>
        <v>#N/A</v>
      </c>
    </row>
    <row r="11" spans="1:4" x14ac:dyDescent="0.35">
      <c r="A11" t="str">
        <v>Bangalore</v>
      </c>
      <c r="B11">
        <f>COUNTIF(original_data!H:H,'%delayed_parcels_by_region'!A11)</f>
        <v>27</v>
      </c>
      <c r="C11">
        <f>VLOOKUP(A11,delayed_parcels!$A$4:$B$16,2,FALSE)</f>
        <v>12</v>
      </c>
      <c r="D11" s="18">
        <f t="shared" si="0"/>
        <v>0.44444444444444442</v>
      </c>
    </row>
    <row r="12" spans="1:4" x14ac:dyDescent="0.35">
      <c r="A12" t="str">
        <v>Pune</v>
      </c>
      <c r="B12">
        <f>COUNTIF(original_data!H:H,'%delayed_parcels_by_region'!A12)</f>
        <v>5</v>
      </c>
      <c r="C12">
        <f>VLOOKUP(A12,delayed_parcels!$A$4:$B$16,2,FALSE)</f>
        <v>2</v>
      </c>
      <c r="D12" s="18">
        <f t="shared" si="0"/>
        <v>0.4</v>
      </c>
    </row>
    <row r="13" spans="1:4" hidden="1" x14ac:dyDescent="0.35">
      <c r="A13" t="str">
        <v>Madurai</v>
      </c>
      <c r="B13">
        <f>COUNTIF(original_data!H:H,'%delayed_parcels_by_region'!A13)</f>
        <v>1</v>
      </c>
      <c r="C13" t="e">
        <f>VLOOKUP(A13,delayed_parcels!$A$4:$B$16,2,FALSE)</f>
        <v>#N/A</v>
      </c>
      <c r="D13" s="18" t="e">
        <f t="shared" si="0"/>
        <v>#N/A</v>
      </c>
    </row>
    <row r="14" spans="1:4" x14ac:dyDescent="0.35">
      <c r="A14" t="str">
        <v>Allahabad</v>
      </c>
      <c r="B14">
        <f>COUNTIF(original_data!H:H,'%delayed_parcels_by_region'!A14)</f>
        <v>4</v>
      </c>
      <c r="C14">
        <f>VLOOKUP(A14,delayed_parcels!$A$4:$B$16,2,FALSE)</f>
        <v>1</v>
      </c>
      <c r="D14" s="18">
        <f t="shared" si="0"/>
        <v>0.25</v>
      </c>
    </row>
    <row r="15" spans="1:4" hidden="1" x14ac:dyDescent="0.35">
      <c r="A15" t="str">
        <v>Ankleshwar</v>
      </c>
      <c r="B15">
        <f>COUNTIF(original_data!H:H,'%delayed_parcels_by_region'!A15)</f>
        <v>1</v>
      </c>
      <c r="C15" t="e">
        <f>VLOOKUP(A15,delayed_parcels!$A$4:$B$16,2,FALSE)</f>
        <v>#N/A</v>
      </c>
      <c r="D15" s="18" t="e">
        <f t="shared" si="0"/>
        <v>#N/A</v>
      </c>
    </row>
    <row r="16" spans="1:4" hidden="1" x14ac:dyDescent="0.35">
      <c r="A16" t="str">
        <v>Jalandhar</v>
      </c>
      <c r="B16">
        <f>COUNTIF(original_data!H:H,'%delayed_parcels_by_region'!A16)</f>
        <v>1</v>
      </c>
      <c r="C16" t="e">
        <f>VLOOKUP(A16,delayed_parcels!$A$4:$B$16,2,FALSE)</f>
        <v>#N/A</v>
      </c>
      <c r="D16" s="18" t="e">
        <f t="shared" si="0"/>
        <v>#N/A</v>
      </c>
    </row>
    <row r="17" spans="1:4" x14ac:dyDescent="0.35">
      <c r="A17" t="str">
        <v>Dehradun</v>
      </c>
      <c r="B17">
        <f>COUNTIF(original_data!H:H,'%delayed_parcels_by_region'!A17)</f>
        <v>3</v>
      </c>
      <c r="C17">
        <f>VLOOKUP(A17,delayed_parcels!$A$4:$B$16,2,FALSE)</f>
        <v>1</v>
      </c>
      <c r="D17" s="18">
        <f t="shared" si="0"/>
        <v>0.33333333333333331</v>
      </c>
    </row>
    <row r="18" spans="1:4" x14ac:dyDescent="0.35">
      <c r="A18" t="str">
        <v>Kolkata</v>
      </c>
      <c r="B18">
        <f>COUNTIF(original_data!H:H,'%delayed_parcels_by_region'!A18)</f>
        <v>5</v>
      </c>
      <c r="C18">
        <f>VLOOKUP(A18,delayed_parcels!$A$4:$B$16,2,FALSE)</f>
        <v>2</v>
      </c>
      <c r="D18" s="18">
        <f t="shared" si="0"/>
        <v>0.4</v>
      </c>
    </row>
    <row r="19" spans="1:4" hidden="1" x14ac:dyDescent="0.35">
      <c r="A19" t="str">
        <v>Bulandeshwar</v>
      </c>
      <c r="B19">
        <f>COUNTIF(original_data!H:H,'%delayed_parcels_by_region'!A19)</f>
        <v>1</v>
      </c>
      <c r="C19" t="e">
        <f>VLOOKUP(A19,delayed_parcels!$A$4:$B$16,2,FALSE)</f>
        <v>#N/A</v>
      </c>
      <c r="D19" s="18" t="e">
        <f t="shared" si="0"/>
        <v>#N/A</v>
      </c>
    </row>
    <row r="20" spans="1:4" hidden="1" x14ac:dyDescent="0.35">
      <c r="A20" t="str">
        <v>Ranchi</v>
      </c>
      <c r="B20">
        <f>COUNTIF(original_data!H:H,'%delayed_parcels_by_region'!A20)</f>
        <v>1</v>
      </c>
      <c r="C20" t="e">
        <f>VLOOKUP(A20,delayed_parcels!$A$4:$B$16,2,FALSE)</f>
        <v>#N/A</v>
      </c>
      <c r="D20" s="18" t="e">
        <f t="shared" si="0"/>
        <v>#N/A</v>
      </c>
    </row>
    <row r="21" spans="1:4" hidden="1" x14ac:dyDescent="0.35">
      <c r="A21" t="str">
        <v>Trichy</v>
      </c>
      <c r="B21">
        <f>COUNTIF(original_data!H:H,'%delayed_parcels_by_region'!A21)</f>
        <v>1</v>
      </c>
      <c r="C21" t="e">
        <f>VLOOKUP(A21,delayed_parcels!$A$4:$B$16,2,FALSE)</f>
        <v>#N/A</v>
      </c>
      <c r="D21" s="18" t="e">
        <f t="shared" si="0"/>
        <v>#N/A</v>
      </c>
    </row>
    <row r="22" spans="1:4" hidden="1" x14ac:dyDescent="0.35">
      <c r="A22" t="str">
        <v>Banda</v>
      </c>
      <c r="B22">
        <f>COUNTIF(original_data!H:H,'%delayed_parcels_by_region'!A22)</f>
        <v>1</v>
      </c>
      <c r="C22" t="e">
        <f>VLOOKUP(A22,delayed_parcels!$A$4:$B$16,2,FALSE)</f>
        <v>#N/A</v>
      </c>
      <c r="D22" s="18" t="e">
        <f t="shared" si="0"/>
        <v>#N/A</v>
      </c>
    </row>
    <row r="23" spans="1:4" hidden="1" x14ac:dyDescent="0.35">
      <c r="A23" t="str">
        <v>Moga</v>
      </c>
      <c r="B23">
        <f>COUNTIF(original_data!H:H,'%delayed_parcels_by_region'!A23)</f>
        <v>1</v>
      </c>
      <c r="C23" t="e">
        <f>VLOOKUP(A23,delayed_parcels!$A$4:$B$16,2,FALSE)</f>
        <v>#N/A</v>
      </c>
      <c r="D23" s="18" t="e">
        <f t="shared" si="0"/>
        <v>#N/A</v>
      </c>
    </row>
    <row r="24" spans="1:4" hidden="1" x14ac:dyDescent="0.35">
      <c r="A24" t="str">
        <v>Jhansi</v>
      </c>
      <c r="B24">
        <f>COUNTIF(original_data!H:H,'%delayed_parcels_by_region'!A24)</f>
        <v>1</v>
      </c>
      <c r="C24" t="e">
        <f>VLOOKUP(A24,delayed_parcels!$A$4:$B$16,2,FALSE)</f>
        <v>#N/A</v>
      </c>
      <c r="D24" s="18" t="e">
        <f t="shared" si="0"/>
        <v>#N/A</v>
      </c>
    </row>
    <row r="25" spans="1:4" x14ac:dyDescent="0.35">
      <c r="A25" t="str">
        <v>Gurgaon</v>
      </c>
      <c r="B25">
        <f>COUNTIF(original_data!H:H,'%delayed_parcels_by_region'!A25)</f>
        <v>6</v>
      </c>
      <c r="C25">
        <f>VLOOKUP(A25,delayed_parcels!$A$4:$B$16,2,FALSE)</f>
        <v>1</v>
      </c>
      <c r="D25" s="18">
        <f t="shared" si="0"/>
        <v>0.16666666666666666</v>
      </c>
    </row>
    <row r="26" spans="1:4" hidden="1" x14ac:dyDescent="0.35">
      <c r="A26" t="str">
        <v>Rayagada</v>
      </c>
      <c r="B26">
        <f>COUNTIF(original_data!H:H,'%delayed_parcels_by_region'!A26)</f>
        <v>1</v>
      </c>
      <c r="C26" t="e">
        <f>VLOOKUP(A26,delayed_parcels!$A$4:$B$16,2,FALSE)</f>
        <v>#N/A</v>
      </c>
      <c r="D26" s="18" t="e">
        <f t="shared" si="0"/>
        <v>#N/A</v>
      </c>
    </row>
    <row r="27" spans="1:4" hidden="1" x14ac:dyDescent="0.35">
      <c r="A27" t="str">
        <v>Phagwara</v>
      </c>
      <c r="B27">
        <f>COUNTIF(original_data!H:H,'%delayed_parcels_by_region'!A27)</f>
        <v>1</v>
      </c>
      <c r="C27" t="e">
        <f>VLOOKUP(A27,delayed_parcels!$A$4:$B$16,2,FALSE)</f>
        <v>#N/A</v>
      </c>
      <c r="D27" s="18" t="e">
        <f t="shared" si="0"/>
        <v>#N/A</v>
      </c>
    </row>
    <row r="28" spans="1:4" hidden="1" x14ac:dyDescent="0.35">
      <c r="A28" t="str">
        <v>Alwar</v>
      </c>
      <c r="B28">
        <f>COUNTIF(original_data!H:H,'%delayed_parcels_by_region'!A28)</f>
        <v>1</v>
      </c>
      <c r="C28" t="e">
        <f>VLOOKUP(A28,delayed_parcels!$A$4:$B$16,2,FALSE)</f>
        <v>#N/A</v>
      </c>
      <c r="D28" s="18" t="e">
        <f t="shared" si="0"/>
        <v>#N/A</v>
      </c>
    </row>
    <row r="29" spans="1:4" hidden="1" x14ac:dyDescent="0.35">
      <c r="A29" t="str">
        <v>Hardoi</v>
      </c>
      <c r="B29">
        <f>COUNTIF(original_data!H:H,'%delayed_parcels_by_region'!A29)</f>
        <v>1</v>
      </c>
      <c r="C29" t="e">
        <f>VLOOKUP(A29,delayed_parcels!$A$4:$B$16,2,FALSE)</f>
        <v>#N/A</v>
      </c>
      <c r="D29" s="18" t="e">
        <f t="shared" si="0"/>
        <v>#N/A</v>
      </c>
    </row>
    <row r="30" spans="1:4" hidden="1" x14ac:dyDescent="0.35">
      <c r="A30" t="str">
        <v>Kannauj</v>
      </c>
      <c r="B30">
        <f>COUNTIF(original_data!H:H,'%delayed_parcels_by_region'!A30)</f>
        <v>1</v>
      </c>
      <c r="C30" t="e">
        <f>VLOOKUP(A30,delayed_parcels!$A$4:$B$16,2,FALSE)</f>
        <v>#N/A</v>
      </c>
      <c r="D30" s="18" t="e">
        <f t="shared" si="0"/>
        <v>#N/A</v>
      </c>
    </row>
    <row r="31" spans="1:4" x14ac:dyDescent="0.35">
      <c r="A31" t="str">
        <v>Surat</v>
      </c>
      <c r="B31">
        <f>COUNTIF(original_data!H:H,'%delayed_parcels_by_region'!A31)</f>
        <v>2</v>
      </c>
      <c r="C31">
        <f>VLOOKUP(A31,delayed_parcels!$A$4:$B$16,2,FALSE)</f>
        <v>1</v>
      </c>
      <c r="D31" s="18">
        <f t="shared" si="0"/>
        <v>0.5</v>
      </c>
    </row>
    <row r="32" spans="1:4" hidden="1" x14ac:dyDescent="0.35">
      <c r="A32" t="str">
        <v>Shahjahanpur</v>
      </c>
      <c r="B32">
        <f>COUNTIF(original_data!H:H,'%delayed_parcels_by_region'!A32)</f>
        <v>1</v>
      </c>
      <c r="C32" t="e">
        <f>VLOOKUP(A32,delayed_parcels!$A$4:$B$16,2,FALSE)</f>
        <v>#N/A</v>
      </c>
      <c r="D32" s="18" t="e">
        <f t="shared" si="0"/>
        <v>#N/A</v>
      </c>
    </row>
    <row r="33" spans="1:4" hidden="1" x14ac:dyDescent="0.35">
      <c r="A33" t="str">
        <v>Chennai</v>
      </c>
      <c r="B33">
        <f>COUNTIF(original_data!H:H,'%delayed_parcels_by_region'!A33)</f>
        <v>1</v>
      </c>
      <c r="C33" t="e">
        <f>VLOOKUP(A33,delayed_parcels!$A$4:$B$16,2,FALSE)</f>
        <v>#N/A</v>
      </c>
      <c r="D33" s="18" t="e">
        <f t="shared" si="0"/>
        <v>#N/A</v>
      </c>
    </row>
    <row r="34" spans="1:4" hidden="1" x14ac:dyDescent="0.35">
      <c r="A34" t="str">
        <v>Bijnor</v>
      </c>
      <c r="B34">
        <f>COUNTIF(original_data!H:H,'%delayed_parcels_by_region'!A34)</f>
        <v>1</v>
      </c>
      <c r="C34" t="e">
        <f>VLOOKUP(A34,delayed_parcels!$A$4:$B$16,2,FALSE)</f>
        <v>#N/A</v>
      </c>
      <c r="D34" s="18" t="e">
        <f t="shared" si="0"/>
        <v>#N/A</v>
      </c>
    </row>
    <row r="35" spans="1:4" hidden="1" x14ac:dyDescent="0.35">
      <c r="A35" t="str">
        <v>Varanasi</v>
      </c>
      <c r="B35">
        <f>COUNTIF(original_data!H:H,'%delayed_parcels_by_region'!A35)</f>
        <v>3</v>
      </c>
      <c r="C35" t="e">
        <f>VLOOKUP(A35,delayed_parcels!$A$4:$B$16,2,FALSE)</f>
        <v>#N/A</v>
      </c>
      <c r="D35" s="18" t="e">
        <f t="shared" si="0"/>
        <v>#N/A</v>
      </c>
    </row>
    <row r="36" spans="1:4" hidden="1" x14ac:dyDescent="0.35">
      <c r="A36" t="str">
        <v>Jodhpur</v>
      </c>
      <c r="B36">
        <f>COUNTIF(original_data!H:H,'%delayed_parcels_by_region'!A36)</f>
        <v>1</v>
      </c>
      <c r="C36" t="e">
        <f>VLOOKUP(A36,delayed_parcels!$A$4:$B$16,2,FALSE)</f>
        <v>#N/A</v>
      </c>
      <c r="D36" s="18" t="e">
        <f t="shared" si="0"/>
        <v>#N/A</v>
      </c>
    </row>
    <row r="37" spans="1:4" hidden="1" x14ac:dyDescent="0.35">
      <c r="A37" t="str">
        <v>Jabalpur</v>
      </c>
      <c r="B37">
        <f>COUNTIF(original_data!H:H,'%delayed_parcels_by_region'!A37)</f>
        <v>1</v>
      </c>
      <c r="C37" t="e">
        <f>VLOOKUP(A37,delayed_parcels!$A$4:$B$16,2,FALSE)</f>
        <v>#N/A</v>
      </c>
      <c r="D37" s="18" t="e">
        <f t="shared" si="0"/>
        <v>#N/A</v>
      </c>
    </row>
    <row r="38" spans="1:4" hidden="1" x14ac:dyDescent="0.35">
      <c r="A38" t="str">
        <v>Bhopal</v>
      </c>
      <c r="B38">
        <f>COUNTIF(original_data!H:H,'%delayed_parcels_by_region'!A38)</f>
        <v>1</v>
      </c>
      <c r="C38" t="e">
        <f>VLOOKUP(A38,delayed_parcels!$A$4:$B$16,2,FALSE)</f>
        <v>#N/A</v>
      </c>
      <c r="D38" s="18" t="e">
        <f t="shared" si="0"/>
        <v>#N/A</v>
      </c>
    </row>
    <row r="39" spans="1:4" hidden="1" x14ac:dyDescent="0.35">
      <c r="A39" t="str">
        <v>Bilaspur</v>
      </c>
      <c r="B39">
        <f>COUNTIF(original_data!H:H,'%delayed_parcels_by_region'!A39)</f>
        <v>1</v>
      </c>
      <c r="C39" t="e">
        <f>VLOOKUP(A39,delayed_parcels!$A$4:$B$16,2,FALSE)</f>
        <v>#N/A</v>
      </c>
      <c r="D39" s="18" t="e">
        <f t="shared" si="0"/>
        <v>#N/A</v>
      </c>
    </row>
    <row r="40" spans="1:4" hidden="1" x14ac:dyDescent="0.35">
      <c r="A40" t="str">
        <v>Katpadi</v>
      </c>
      <c r="B40">
        <f>COUNTIF(original_data!H:H,'%delayed_parcels_by_region'!A40)</f>
        <v>1</v>
      </c>
      <c r="C40" t="e">
        <f>VLOOKUP(A40,delayed_parcels!$A$4:$B$16,2,FALSE)</f>
        <v>#N/A</v>
      </c>
      <c r="D40" s="18" t="e">
        <f t="shared" si="0"/>
        <v>#N/A</v>
      </c>
    </row>
    <row r="41" spans="1:4" hidden="1" x14ac:dyDescent="0.35">
      <c r="A41" t="str">
        <v>Faridabad</v>
      </c>
      <c r="B41">
        <f>COUNTIF(original_data!H:H,'%delayed_parcels_by_region'!A41)</f>
        <v>1</v>
      </c>
      <c r="C41" t="e">
        <f>VLOOKUP(A41,delayed_parcels!$A$4:$B$16,2,FALSE)</f>
        <v>#N/A</v>
      </c>
      <c r="D41" s="18" t="e">
        <f t="shared" si="0"/>
        <v>#N/A</v>
      </c>
    </row>
    <row r="42" spans="1:4" hidden="1" x14ac:dyDescent="0.35">
      <c r="A42" t="str">
        <v>Udupi</v>
      </c>
      <c r="B42">
        <f>COUNTIF(original_data!H:H,'%delayed_parcels_by_region'!A42)</f>
        <v>1</v>
      </c>
      <c r="C42" t="e">
        <f>VLOOKUP(A42,delayed_parcels!$A$4:$B$16,2,FALSE)</f>
        <v>#N/A</v>
      </c>
      <c r="D42" s="18" t="e">
        <f t="shared" si="0"/>
        <v>#N/A</v>
      </c>
    </row>
    <row r="43" spans="1:4" hidden="1" x14ac:dyDescent="0.35">
      <c r="A43" t="str">
        <v>Patna</v>
      </c>
      <c r="B43">
        <f>COUNTIF(original_data!H:H,'%delayed_parcels_by_region'!A43)</f>
        <v>1</v>
      </c>
      <c r="C43" t="e">
        <f>VLOOKUP(A43,delayed_parcels!$A$4:$B$16,2,FALSE)</f>
        <v>#N/A</v>
      </c>
      <c r="D43" s="18" t="e">
        <f t="shared" si="0"/>
        <v>#N/A</v>
      </c>
    </row>
    <row r="44" spans="1:4" hidden="1" x14ac:dyDescent="0.35">
      <c r="A44" t="str">
        <v>Amritsar</v>
      </c>
      <c r="B44">
        <f>COUNTIF(original_data!H:H,'%delayed_parcels_by_region'!A44)</f>
        <v>1</v>
      </c>
      <c r="C44" t="e">
        <f>VLOOKUP(A44,delayed_parcels!$A$4:$B$16,2,FALSE)</f>
        <v>#N/A</v>
      </c>
      <c r="D44" s="18" t="e">
        <f t="shared" si="0"/>
        <v>#N/A</v>
      </c>
    </row>
    <row r="45" spans="1:4" hidden="1" x14ac:dyDescent="0.35">
      <c r="A45" t="str">
        <v>Aligarh</v>
      </c>
      <c r="B45">
        <f>COUNTIF(original_data!H:H,'%delayed_parcels_by_region'!A45)</f>
        <v>1</v>
      </c>
      <c r="C45" t="e">
        <f>VLOOKUP(A45,delayed_parcels!$A$4:$B$16,2,FALSE)</f>
        <v>#N/A</v>
      </c>
      <c r="D45" s="18" t="e">
        <f t="shared" si="0"/>
        <v>#N/A</v>
      </c>
    </row>
    <row r="46" spans="1:4" hidden="1" x14ac:dyDescent="0.35">
      <c r="A46" t="str">
        <v>Indore</v>
      </c>
      <c r="B46">
        <f>COUNTIF(original_data!H:H,'%delayed_parcels_by_region'!A46)</f>
        <v>1</v>
      </c>
      <c r="C46" t="e">
        <f>VLOOKUP(A46,delayed_parcels!$A$4:$B$16,2,FALSE)</f>
        <v>#N/A</v>
      </c>
      <c r="D46" s="18" t="e">
        <f t="shared" si="0"/>
        <v>#N/A</v>
      </c>
    </row>
    <row r="47" spans="1:4" hidden="1" x14ac:dyDescent="0.35">
      <c r="A47" t="str">
        <v>Erode</v>
      </c>
      <c r="B47">
        <f>COUNTIF(original_data!H:H,'%delayed_parcels_by_region'!A47)</f>
        <v>1</v>
      </c>
      <c r="C47" t="e">
        <f>VLOOKUP(A47,delayed_parcels!$A$4:$B$16,2,FALSE)</f>
        <v>#N/A</v>
      </c>
      <c r="D47" s="18" t="e">
        <f t="shared" si="0"/>
        <v>#N/A</v>
      </c>
    </row>
    <row r="48" spans="1:4" hidden="1" x14ac:dyDescent="0.35">
      <c r="A48" t="str">
        <v>Sikar</v>
      </c>
      <c r="B48">
        <f>COUNTIF(original_data!H:H,'%delayed_parcels_by_region'!A48)</f>
        <v>1</v>
      </c>
      <c r="C48" t="e">
        <f>VLOOKUP(A48,delayed_parcels!$A$4:$B$16,2,FALSE)</f>
        <v>#N/A</v>
      </c>
      <c r="D48" s="18" t="e">
        <f t="shared" si="0"/>
        <v>#N/A</v>
      </c>
    </row>
    <row r="49" spans="1:4" hidden="1" x14ac:dyDescent="0.35">
      <c r="A49" t="str">
        <v>Sahibabad</v>
      </c>
      <c r="B49">
        <f>COUNTIF(original_data!H:H,'%delayed_parcels_by_region'!A49)</f>
        <v>1</v>
      </c>
      <c r="C49" t="e">
        <f>VLOOKUP(A49,delayed_parcels!$A$4:$B$16,2,FALSE)</f>
        <v>#N/A</v>
      </c>
      <c r="D49" s="18" t="e">
        <f t="shared" si="0"/>
        <v>#N/A</v>
      </c>
    </row>
    <row r="50" spans="1:4" hidden="1" x14ac:dyDescent="0.35">
      <c r="A50" t="str">
        <v>Nagpur</v>
      </c>
      <c r="B50">
        <f>COUNTIF(original_data!H:H,'%delayed_parcels_by_region'!A50)</f>
        <v>1</v>
      </c>
      <c r="C50" t="e">
        <f>VLOOKUP(A50,delayed_parcels!$A$4:$B$16,2,FALSE)</f>
        <v>#N/A</v>
      </c>
      <c r="D50" s="18" t="e">
        <f t="shared" si="0"/>
        <v>#N/A</v>
      </c>
    </row>
    <row r="51" spans="1:4" hidden="1" x14ac:dyDescent="0.35">
      <c r="A51" t="str">
        <v>Bhilai</v>
      </c>
      <c r="B51">
        <f>COUNTIF(original_data!H:H,'%delayed_parcels_by_region'!A51)</f>
        <v>1</v>
      </c>
      <c r="C51" t="e">
        <f>VLOOKUP(A51,delayed_parcels!$A$4:$B$16,2,FALSE)</f>
        <v>#N/A</v>
      </c>
      <c r="D51" s="18" t="e">
        <f t="shared" si="0"/>
        <v>#N/A</v>
      </c>
    </row>
    <row r="52" spans="1:4" hidden="1" x14ac:dyDescent="0.35">
      <c r="A52" t="str">
        <v>Auraiya</v>
      </c>
      <c r="B52">
        <f>COUNTIF(original_data!H:H,'%delayed_parcels_by_region'!A52)</f>
        <v>1</v>
      </c>
      <c r="C52" t="e">
        <f>VLOOKUP(A52,delayed_parcels!$A$4:$B$16,2,FALSE)</f>
        <v>#N/A</v>
      </c>
      <c r="D52" s="18" t="e">
        <f t="shared" si="0"/>
        <v>#N/A</v>
      </c>
    </row>
    <row r="53" spans="1:4" hidden="1" x14ac:dyDescent="0.35">
      <c r="A53" t="str">
        <v>Jhajjar</v>
      </c>
      <c r="B53">
        <f>COUNTIF(original_data!H:H,'%delayed_parcels_by_region'!A53)</f>
        <v>1</v>
      </c>
      <c r="C53" t="e">
        <f>VLOOKUP(A53,delayed_parcels!$A$4:$B$16,2,FALSE)</f>
        <v>#N/A</v>
      </c>
      <c r="D53" s="18" t="e">
        <f t="shared" si="0"/>
        <v>#N/A</v>
      </c>
    </row>
    <row r="54" spans="1:4" hidden="1" x14ac:dyDescent="0.35">
      <c r="A54" t="str">
        <v>Gorakhpur</v>
      </c>
      <c r="B54">
        <f>COUNTIF(original_data!H:H,'%delayed_parcels_by_region'!A54)</f>
        <v>1</v>
      </c>
      <c r="C54" t="e">
        <f>VLOOKUP(A54,delayed_parcels!$A$4:$B$16,2,FALSE)</f>
        <v>#N/A</v>
      </c>
      <c r="D54" s="18" t="e">
        <f t="shared" si="0"/>
        <v>#N/A</v>
      </c>
    </row>
    <row r="55" spans="1:4" hidden="1" x14ac:dyDescent="0.35">
      <c r="B55">
        <f>COUNTIF(original_data!H:H,'%delayed_parcels_by_region'!A55)</f>
        <v>0</v>
      </c>
      <c r="C55" t="e">
        <f>VLOOKUP(A55,delayed_parcels!$A$4:$B$16,2,FALSE)</f>
        <v>#N/A</v>
      </c>
      <c r="D55" s="18" t="e">
        <f t="shared" si="0"/>
        <v>#N/A</v>
      </c>
    </row>
    <row r="57" spans="1:4" x14ac:dyDescent="0.35">
      <c r="C57" s="18">
        <v>0.2</v>
      </c>
      <c r="D57" s="18">
        <f>MAX(C57:C69)</f>
        <v>0.5</v>
      </c>
    </row>
    <row r="58" spans="1:4" x14ac:dyDescent="0.35">
      <c r="C58" s="18"/>
      <c r="D58" s="18">
        <f>MAX(C57:C69)</f>
        <v>0.5</v>
      </c>
    </row>
    <row r="59" spans="1:4" x14ac:dyDescent="0.35">
      <c r="C59" s="18">
        <v>0.2857142857142857</v>
      </c>
    </row>
    <row r="60" spans="1:4" x14ac:dyDescent="0.35">
      <c r="C60" s="18">
        <v>0.21052631578947367</v>
      </c>
    </row>
    <row r="61" spans="1:4" x14ac:dyDescent="0.35">
      <c r="C61" s="18">
        <v>0.4576271186440678</v>
      </c>
    </row>
    <row r="62" spans="1:4" x14ac:dyDescent="0.35">
      <c r="C62" s="18">
        <v>0.4</v>
      </c>
    </row>
    <row r="63" spans="1:4" x14ac:dyDescent="0.35">
      <c r="C63" s="18">
        <v>0.44444444444444442</v>
      </c>
    </row>
    <row r="64" spans="1:4" x14ac:dyDescent="0.35">
      <c r="C64" s="18">
        <v>0.4</v>
      </c>
    </row>
    <row r="65" spans="3:3" x14ac:dyDescent="0.35">
      <c r="C65" s="18">
        <v>0.25</v>
      </c>
    </row>
    <row r="66" spans="3:3" x14ac:dyDescent="0.35">
      <c r="C66" s="18">
        <v>0.33333333333333331</v>
      </c>
    </row>
    <row r="67" spans="3:3" x14ac:dyDescent="0.35">
      <c r="C67" s="18">
        <v>0.4</v>
      </c>
    </row>
    <row r="68" spans="3:3" x14ac:dyDescent="0.35">
      <c r="C68" s="18">
        <v>0.16666666666666666</v>
      </c>
    </row>
    <row r="69" spans="3:3" x14ac:dyDescent="0.35">
      <c r="C69" s="18">
        <v>0.5</v>
      </c>
    </row>
  </sheetData>
  <autoFilter ref="A1:D55" xr:uid="{A26984E6-CA9F-4836-B44D-6299E96F44DB}">
    <filterColumn colId="2">
      <filters>
        <filter val="1"/>
        <filter val="12"/>
        <filter val="19"/>
        <filter val="2"/>
        <filter val="27"/>
        <filter val="4"/>
      </filters>
    </filterColumn>
  </autoFilter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AD66-9F49-44F1-9574-505B977A14FE}">
  <dimension ref="A1:B4"/>
  <sheetViews>
    <sheetView workbookViewId="0">
      <selection activeCell="Q12" sqref="Q12"/>
    </sheetView>
  </sheetViews>
  <sheetFormatPr defaultRowHeight="14.5" x14ac:dyDescent="0.35"/>
  <cols>
    <col min="1" max="1" width="12.36328125" bestFit="1" customWidth="1"/>
    <col min="2" max="2" width="23.08984375" bestFit="1" customWidth="1"/>
  </cols>
  <sheetData>
    <row r="1" spans="1:2" x14ac:dyDescent="0.35">
      <c r="A1" s="12" t="s">
        <v>312</v>
      </c>
      <c r="B1" t="s">
        <v>333</v>
      </c>
    </row>
    <row r="2" spans="1:2" x14ac:dyDescent="0.35">
      <c r="A2" s="13" t="s">
        <v>142</v>
      </c>
      <c r="B2" s="14">
        <v>0.11555555555555555</v>
      </c>
    </row>
    <row r="3" spans="1:2" x14ac:dyDescent="0.35">
      <c r="A3" s="13" t="s">
        <v>108</v>
      </c>
      <c r="B3" s="14">
        <v>0.88444444444444448</v>
      </c>
    </row>
    <row r="4" spans="1:2" x14ac:dyDescent="0.35">
      <c r="A4" s="13" t="s">
        <v>313</v>
      </c>
      <c r="B4" s="14">
        <v>1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8F194-0C52-421E-BA6C-CE577952CAD9}">
  <dimension ref="A1:B4"/>
  <sheetViews>
    <sheetView workbookViewId="0">
      <selection activeCell="M8" sqref="M8"/>
    </sheetView>
  </sheetViews>
  <sheetFormatPr defaultRowHeight="14.5" x14ac:dyDescent="0.35"/>
  <cols>
    <col min="1" max="1" width="14.26953125" bestFit="1" customWidth="1"/>
    <col min="2" max="2" width="23.08984375" bestFit="1" customWidth="1"/>
  </cols>
  <sheetData>
    <row r="1" spans="1:2" x14ac:dyDescent="0.35">
      <c r="A1" s="12" t="s">
        <v>312</v>
      </c>
      <c r="B1" t="s">
        <v>333</v>
      </c>
    </row>
    <row r="2" spans="1:2" x14ac:dyDescent="0.35">
      <c r="A2" s="13" t="s">
        <v>315</v>
      </c>
      <c r="B2" s="14">
        <v>0.92</v>
      </c>
    </row>
    <row r="3" spans="1:2" x14ac:dyDescent="0.35">
      <c r="A3" s="13" t="s">
        <v>314</v>
      </c>
      <c r="B3" s="14">
        <v>0.08</v>
      </c>
    </row>
    <row r="4" spans="1:2" x14ac:dyDescent="0.35">
      <c r="A4" s="13" t="s">
        <v>313</v>
      </c>
      <c r="B4" s="14">
        <v>1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3F1BC-6D87-4D8F-9F00-AF6823A5BB9E}">
  <dimension ref="A1:B7"/>
  <sheetViews>
    <sheetView workbookViewId="0">
      <selection activeCell="B3" sqref="B3"/>
    </sheetView>
  </sheetViews>
  <sheetFormatPr defaultRowHeight="14.5" x14ac:dyDescent="0.35"/>
  <cols>
    <col min="1" max="1" width="14.26953125" bestFit="1" customWidth="1"/>
    <col min="2" max="3" width="24.453125" bestFit="1" customWidth="1"/>
  </cols>
  <sheetData>
    <row r="1" spans="1:2" x14ac:dyDescent="0.35">
      <c r="A1" s="12" t="s">
        <v>312</v>
      </c>
      <c r="B1" t="s">
        <v>318</v>
      </c>
    </row>
    <row r="2" spans="1:2" x14ac:dyDescent="0.35">
      <c r="A2" s="13" t="s">
        <v>315</v>
      </c>
      <c r="B2" s="14">
        <v>0.75024956892639982</v>
      </c>
    </row>
    <row r="3" spans="1:2" x14ac:dyDescent="0.35">
      <c r="A3" s="13" t="s">
        <v>314</v>
      </c>
      <c r="B3" s="14">
        <v>0.24975043107360015</v>
      </c>
    </row>
    <row r="4" spans="1:2" x14ac:dyDescent="0.35">
      <c r="A4" s="13" t="s">
        <v>313</v>
      </c>
      <c r="B4" s="14">
        <v>1</v>
      </c>
    </row>
    <row r="6" spans="1:2" x14ac:dyDescent="0.35">
      <c r="B6" s="18"/>
    </row>
    <row r="7" spans="1:2" x14ac:dyDescent="0.35">
      <c r="B7" s="18"/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38BA-9B24-4099-8E33-E75E2C024FE8}">
  <dimension ref="A1:D4"/>
  <sheetViews>
    <sheetView workbookViewId="0">
      <selection activeCell="D5" sqref="D5"/>
    </sheetView>
  </sheetViews>
  <sheetFormatPr defaultRowHeight="14.5" x14ac:dyDescent="0.35"/>
  <cols>
    <col min="1" max="1" width="14.26953125" bestFit="1" customWidth="1"/>
    <col min="2" max="2" width="23.08984375" bestFit="1" customWidth="1"/>
    <col min="3" max="3" width="30.6328125" bestFit="1" customWidth="1"/>
    <col min="4" max="4" width="16.81640625" customWidth="1"/>
  </cols>
  <sheetData>
    <row r="1" spans="1:4" x14ac:dyDescent="0.35">
      <c r="A1" s="12" t="s">
        <v>312</v>
      </c>
      <c r="B1" t="s">
        <v>333</v>
      </c>
      <c r="C1" t="s">
        <v>359</v>
      </c>
      <c r="D1" s="35" t="s">
        <v>369</v>
      </c>
    </row>
    <row r="2" spans="1:4" x14ac:dyDescent="0.35">
      <c r="A2" s="13" t="s">
        <v>315</v>
      </c>
      <c r="B2">
        <v>207</v>
      </c>
      <c r="C2">
        <v>563.30009864586134</v>
      </c>
      <c r="D2">
        <f>GETPIVOTDATA("Sum of Average deivery Time(Days)",$A$1,"Parcel weight","Less than 5 kgs")/GETPIVOTDATA("Count of Tracking Number",$A$1,"Parcel weight","Less than 5 kgs")</f>
        <v>2.721256515197398</v>
      </c>
    </row>
    <row r="3" spans="1:4" x14ac:dyDescent="0.35">
      <c r="A3" s="13" t="s">
        <v>314</v>
      </c>
      <c r="B3">
        <v>18</v>
      </c>
      <c r="C3">
        <v>53.755456909694196</v>
      </c>
      <c r="D3">
        <f>GETPIVOTDATA("Sum of Average deivery Time(Days)",$A$1,"Parcel weight","More than 5 kgs")/GETPIVOTDATA("Count of Tracking Number",$A$1,"Parcel weight","More than 5 kgs")</f>
        <v>2.9864142727607885</v>
      </c>
    </row>
    <row r="4" spans="1:4" x14ac:dyDescent="0.35">
      <c r="A4" s="13" t="s">
        <v>313</v>
      </c>
      <c r="B4">
        <v>225</v>
      </c>
      <c r="C4">
        <v>617.05555555555532</v>
      </c>
      <c r="D4" s="36">
        <f>D2+D3</f>
        <v>5.7076707879581861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30D01-29B8-467D-BA93-EA53FA5250A2}">
  <dimension ref="A1:F55"/>
  <sheetViews>
    <sheetView workbookViewId="0">
      <selection activeCell="F6" sqref="F6"/>
    </sheetView>
  </sheetViews>
  <sheetFormatPr defaultRowHeight="14.5" x14ac:dyDescent="0.35"/>
  <cols>
    <col min="1" max="1" width="12.7265625" bestFit="1" customWidth="1"/>
    <col min="2" max="2" width="24.453125" bestFit="1" customWidth="1"/>
    <col min="3" max="3" width="23.08984375" bestFit="1" customWidth="1"/>
    <col min="4" max="4" width="9.26953125" bestFit="1" customWidth="1"/>
    <col min="6" max="6" width="9.26953125" bestFit="1" customWidth="1"/>
  </cols>
  <sheetData>
    <row r="1" spans="1:6" x14ac:dyDescent="0.35">
      <c r="A1" s="12" t="s">
        <v>312</v>
      </c>
      <c r="B1" t="s">
        <v>318</v>
      </c>
      <c r="C1" t="s">
        <v>333</v>
      </c>
    </row>
    <row r="2" spans="1:6" x14ac:dyDescent="0.35">
      <c r="A2" s="13" t="s">
        <v>270</v>
      </c>
      <c r="B2" s="4">
        <v>320</v>
      </c>
      <c r="C2">
        <v>2</v>
      </c>
      <c r="D2" s="4">
        <v>320</v>
      </c>
      <c r="E2">
        <v>2</v>
      </c>
      <c r="F2" s="4">
        <f>D2/E2</f>
        <v>160</v>
      </c>
    </row>
    <row r="3" spans="1:6" x14ac:dyDescent="0.35">
      <c r="A3" s="13" t="s">
        <v>290</v>
      </c>
      <c r="B3" s="4">
        <v>1050</v>
      </c>
      <c r="C3">
        <v>1</v>
      </c>
      <c r="D3" s="4">
        <v>1050</v>
      </c>
      <c r="E3">
        <v>1</v>
      </c>
      <c r="F3" s="4">
        <f t="shared" ref="F3:F54" si="0">D3/E3</f>
        <v>1050</v>
      </c>
    </row>
    <row r="4" spans="1:6" x14ac:dyDescent="0.35">
      <c r="A4" s="13" t="s">
        <v>130</v>
      </c>
      <c r="B4" s="4">
        <v>830</v>
      </c>
      <c r="C4">
        <v>4</v>
      </c>
      <c r="D4" s="4">
        <v>830</v>
      </c>
      <c r="E4">
        <v>4</v>
      </c>
      <c r="F4" s="4">
        <f t="shared" si="0"/>
        <v>207.5</v>
      </c>
    </row>
    <row r="5" spans="1:6" x14ac:dyDescent="0.35">
      <c r="A5" s="13" t="s">
        <v>154</v>
      </c>
      <c r="B5" s="4">
        <v>350</v>
      </c>
      <c r="C5">
        <v>1</v>
      </c>
      <c r="D5" s="4">
        <v>350</v>
      </c>
      <c r="E5">
        <v>1</v>
      </c>
      <c r="F5" s="4">
        <f t="shared" si="0"/>
        <v>350</v>
      </c>
    </row>
    <row r="6" spans="1:6" x14ac:dyDescent="0.35">
      <c r="A6" s="13" t="s">
        <v>286</v>
      </c>
      <c r="B6" s="4">
        <v>450</v>
      </c>
      <c r="C6">
        <v>1</v>
      </c>
      <c r="D6" s="4">
        <v>450</v>
      </c>
      <c r="E6">
        <v>1</v>
      </c>
      <c r="F6" s="4">
        <f t="shared" si="0"/>
        <v>450</v>
      </c>
    </row>
    <row r="7" spans="1:6" x14ac:dyDescent="0.35">
      <c r="A7" s="13" t="s">
        <v>275</v>
      </c>
      <c r="B7" s="4">
        <v>250</v>
      </c>
      <c r="C7">
        <v>1</v>
      </c>
      <c r="D7" s="4">
        <v>250</v>
      </c>
      <c r="E7">
        <v>1</v>
      </c>
      <c r="F7" s="4">
        <f t="shared" si="0"/>
        <v>250</v>
      </c>
    </row>
    <row r="8" spans="1:6" x14ac:dyDescent="0.35">
      <c r="A8" s="13" t="s">
        <v>103</v>
      </c>
      <c r="B8" s="4">
        <v>210</v>
      </c>
      <c r="C8">
        <v>1</v>
      </c>
      <c r="D8" s="4">
        <v>210</v>
      </c>
      <c r="E8">
        <v>1</v>
      </c>
      <c r="F8" s="4">
        <f t="shared" si="0"/>
        <v>210</v>
      </c>
    </row>
    <row r="9" spans="1:6" x14ac:dyDescent="0.35">
      <c r="A9" s="13" t="s">
        <v>171</v>
      </c>
      <c r="B9" s="4">
        <v>270</v>
      </c>
      <c r="C9">
        <v>1</v>
      </c>
      <c r="D9" s="4">
        <v>270</v>
      </c>
      <c r="E9">
        <v>1</v>
      </c>
      <c r="F9" s="4">
        <f t="shared" si="0"/>
        <v>270</v>
      </c>
    </row>
    <row r="10" spans="1:6" x14ac:dyDescent="0.35">
      <c r="A10" s="13" t="s">
        <v>172</v>
      </c>
      <c r="B10" s="4">
        <v>970</v>
      </c>
      <c r="C10">
        <v>1</v>
      </c>
      <c r="D10" s="4">
        <v>970</v>
      </c>
      <c r="E10">
        <v>1</v>
      </c>
      <c r="F10" s="4">
        <f t="shared" si="0"/>
        <v>970</v>
      </c>
    </row>
    <row r="11" spans="1:6" x14ac:dyDescent="0.35">
      <c r="A11" s="13" t="s">
        <v>87</v>
      </c>
      <c r="B11" s="4">
        <v>5940</v>
      </c>
      <c r="C11">
        <v>27</v>
      </c>
      <c r="D11" s="4">
        <v>5940</v>
      </c>
      <c r="E11">
        <v>27</v>
      </c>
      <c r="F11" s="4">
        <f t="shared" si="0"/>
        <v>220</v>
      </c>
    </row>
    <row r="12" spans="1:6" x14ac:dyDescent="0.35">
      <c r="A12" s="13" t="s">
        <v>102</v>
      </c>
      <c r="B12" s="4">
        <v>150</v>
      </c>
      <c r="C12">
        <v>1</v>
      </c>
      <c r="D12" s="4">
        <v>150</v>
      </c>
      <c r="E12">
        <v>1</v>
      </c>
      <c r="F12" s="4">
        <f t="shared" si="0"/>
        <v>150</v>
      </c>
    </row>
    <row r="13" spans="1:6" x14ac:dyDescent="0.35">
      <c r="A13" s="13" t="s">
        <v>137</v>
      </c>
      <c r="B13" s="4">
        <v>540</v>
      </c>
      <c r="C13">
        <v>1</v>
      </c>
      <c r="D13" s="4">
        <v>540</v>
      </c>
      <c r="E13">
        <v>1</v>
      </c>
      <c r="F13" s="4">
        <f t="shared" si="0"/>
        <v>540</v>
      </c>
    </row>
    <row r="14" spans="1:6" x14ac:dyDescent="0.35">
      <c r="A14" s="13" t="s">
        <v>133</v>
      </c>
      <c r="B14" s="4">
        <v>110</v>
      </c>
      <c r="C14">
        <v>1</v>
      </c>
      <c r="D14" s="4">
        <v>110</v>
      </c>
      <c r="E14">
        <v>1</v>
      </c>
      <c r="F14" s="4">
        <f t="shared" si="0"/>
        <v>110</v>
      </c>
    </row>
    <row r="15" spans="1:6" x14ac:dyDescent="0.35">
      <c r="A15" s="13" t="s">
        <v>138</v>
      </c>
      <c r="B15" s="4">
        <v>240</v>
      </c>
      <c r="C15">
        <v>1</v>
      </c>
      <c r="D15" s="4">
        <v>240</v>
      </c>
      <c r="E15">
        <v>1</v>
      </c>
      <c r="F15" s="4">
        <f t="shared" si="0"/>
        <v>240</v>
      </c>
    </row>
    <row r="16" spans="1:6" x14ac:dyDescent="0.35">
      <c r="A16" s="13" t="s">
        <v>276</v>
      </c>
      <c r="B16" s="4">
        <v>150</v>
      </c>
      <c r="C16">
        <v>1</v>
      </c>
      <c r="D16" s="4">
        <v>150</v>
      </c>
      <c r="E16">
        <v>1</v>
      </c>
      <c r="F16" s="4">
        <f t="shared" si="0"/>
        <v>150</v>
      </c>
    </row>
    <row r="17" spans="1:6" x14ac:dyDescent="0.35">
      <c r="A17" s="13" t="s">
        <v>129</v>
      </c>
      <c r="B17" s="4">
        <v>480</v>
      </c>
      <c r="C17">
        <v>1</v>
      </c>
      <c r="D17" s="4">
        <v>480</v>
      </c>
      <c r="E17">
        <v>1</v>
      </c>
      <c r="F17" s="4">
        <f t="shared" si="0"/>
        <v>480</v>
      </c>
    </row>
    <row r="18" spans="1:6" x14ac:dyDescent="0.35">
      <c r="A18" s="13" t="s">
        <v>132</v>
      </c>
      <c r="B18" s="4">
        <v>970</v>
      </c>
      <c r="C18">
        <v>3</v>
      </c>
      <c r="D18" s="4">
        <v>970</v>
      </c>
      <c r="E18">
        <v>3</v>
      </c>
      <c r="F18" s="4">
        <f t="shared" si="0"/>
        <v>323.33333333333331</v>
      </c>
    </row>
    <row r="19" spans="1:6" x14ac:dyDescent="0.35">
      <c r="A19" s="13" t="s">
        <v>89</v>
      </c>
      <c r="B19" s="4">
        <v>8325</v>
      </c>
      <c r="C19">
        <v>30</v>
      </c>
      <c r="D19" s="4">
        <v>8325</v>
      </c>
      <c r="E19">
        <v>30</v>
      </c>
      <c r="F19" s="4">
        <f t="shared" si="0"/>
        <v>277.5</v>
      </c>
    </row>
    <row r="20" spans="1:6" x14ac:dyDescent="0.35">
      <c r="A20" s="13" t="s">
        <v>297</v>
      </c>
      <c r="B20" s="4">
        <v>540</v>
      </c>
      <c r="C20">
        <v>1</v>
      </c>
      <c r="D20" s="4">
        <v>540</v>
      </c>
      <c r="E20">
        <v>1</v>
      </c>
      <c r="F20" s="4">
        <f t="shared" si="0"/>
        <v>540</v>
      </c>
    </row>
    <row r="21" spans="1:6" x14ac:dyDescent="0.35">
      <c r="A21" s="13" t="s">
        <v>82</v>
      </c>
      <c r="B21" s="4">
        <v>140</v>
      </c>
      <c r="C21">
        <v>1</v>
      </c>
      <c r="D21" s="4">
        <v>140</v>
      </c>
      <c r="E21">
        <v>1</v>
      </c>
      <c r="F21" s="4">
        <f t="shared" si="0"/>
        <v>140</v>
      </c>
    </row>
    <row r="22" spans="1:6" x14ac:dyDescent="0.35">
      <c r="A22" s="13" t="s">
        <v>178</v>
      </c>
      <c r="B22" s="4">
        <v>350</v>
      </c>
      <c r="C22">
        <v>1</v>
      </c>
      <c r="D22" s="4">
        <v>350</v>
      </c>
      <c r="E22">
        <v>1</v>
      </c>
      <c r="F22" s="4">
        <f t="shared" si="0"/>
        <v>350</v>
      </c>
    </row>
    <row r="23" spans="1:6" x14ac:dyDescent="0.35">
      <c r="A23" s="13" t="s">
        <v>86</v>
      </c>
      <c r="B23" s="4">
        <v>3080</v>
      </c>
      <c r="C23">
        <v>7</v>
      </c>
      <c r="D23" s="4">
        <v>3080</v>
      </c>
      <c r="E23">
        <v>7</v>
      </c>
      <c r="F23" s="4">
        <f t="shared" si="0"/>
        <v>440</v>
      </c>
    </row>
    <row r="24" spans="1:6" x14ac:dyDescent="0.35">
      <c r="A24" s="13" t="s">
        <v>299</v>
      </c>
      <c r="B24" s="4">
        <v>240</v>
      </c>
      <c r="C24">
        <v>1</v>
      </c>
      <c r="D24" s="4">
        <v>240</v>
      </c>
      <c r="E24">
        <v>1</v>
      </c>
      <c r="F24" s="4">
        <f t="shared" si="0"/>
        <v>240</v>
      </c>
    </row>
    <row r="25" spans="1:6" x14ac:dyDescent="0.35">
      <c r="A25" s="13" t="s">
        <v>92</v>
      </c>
      <c r="B25" s="4">
        <v>1050</v>
      </c>
      <c r="C25">
        <v>6</v>
      </c>
      <c r="D25" s="4">
        <v>1050</v>
      </c>
      <c r="E25">
        <v>6</v>
      </c>
      <c r="F25" s="4">
        <f t="shared" si="0"/>
        <v>175</v>
      </c>
    </row>
    <row r="26" spans="1:6" x14ac:dyDescent="0.35">
      <c r="A26" s="13" t="s">
        <v>209</v>
      </c>
      <c r="B26" s="4">
        <v>90</v>
      </c>
      <c r="C26">
        <v>1</v>
      </c>
      <c r="D26" s="4">
        <v>90</v>
      </c>
      <c r="E26">
        <v>1</v>
      </c>
      <c r="F26" s="4">
        <f t="shared" si="0"/>
        <v>90</v>
      </c>
    </row>
    <row r="27" spans="1:6" x14ac:dyDescent="0.35">
      <c r="A27" s="13" t="s">
        <v>131</v>
      </c>
      <c r="B27" s="4">
        <v>1250</v>
      </c>
      <c r="C27">
        <v>5</v>
      </c>
      <c r="D27" s="4">
        <v>1250</v>
      </c>
      <c r="E27">
        <v>5</v>
      </c>
      <c r="F27" s="4">
        <f t="shared" si="0"/>
        <v>250</v>
      </c>
    </row>
    <row r="28" spans="1:6" x14ac:dyDescent="0.35">
      <c r="A28" s="13" t="s">
        <v>295</v>
      </c>
      <c r="B28" s="4">
        <v>1350</v>
      </c>
      <c r="C28">
        <v>1</v>
      </c>
      <c r="D28" s="4">
        <v>1350</v>
      </c>
      <c r="E28">
        <v>1</v>
      </c>
      <c r="F28" s="4">
        <f t="shared" si="0"/>
        <v>1350</v>
      </c>
    </row>
    <row r="29" spans="1:6" x14ac:dyDescent="0.35">
      <c r="A29" s="13" t="s">
        <v>140</v>
      </c>
      <c r="B29" s="4">
        <v>390</v>
      </c>
      <c r="C29">
        <v>1</v>
      </c>
      <c r="D29" s="4">
        <v>390</v>
      </c>
      <c r="E29">
        <v>1</v>
      </c>
      <c r="F29" s="4">
        <f t="shared" si="0"/>
        <v>390</v>
      </c>
    </row>
    <row r="30" spans="1:6" x14ac:dyDescent="0.35">
      <c r="A30" s="13" t="s">
        <v>160</v>
      </c>
      <c r="B30" s="4">
        <v>1540</v>
      </c>
      <c r="C30">
        <v>1</v>
      </c>
      <c r="D30" s="4">
        <v>1540</v>
      </c>
      <c r="E30">
        <v>1</v>
      </c>
      <c r="F30" s="4">
        <f t="shared" si="0"/>
        <v>1540</v>
      </c>
    </row>
    <row r="31" spans="1:6" x14ac:dyDescent="0.35">
      <c r="A31" s="13" t="s">
        <v>105</v>
      </c>
      <c r="B31" s="4">
        <v>360</v>
      </c>
      <c r="C31">
        <v>1</v>
      </c>
      <c r="D31" s="4">
        <v>360</v>
      </c>
      <c r="E31">
        <v>1</v>
      </c>
      <c r="F31" s="4">
        <f t="shared" si="0"/>
        <v>360</v>
      </c>
    </row>
    <row r="32" spans="1:6" x14ac:dyDescent="0.35">
      <c r="A32" s="13" t="s">
        <v>208</v>
      </c>
      <c r="B32" s="4">
        <v>90</v>
      </c>
      <c r="C32">
        <v>1</v>
      </c>
      <c r="D32" s="4">
        <v>90</v>
      </c>
      <c r="E32">
        <v>1</v>
      </c>
      <c r="F32" s="4">
        <f t="shared" si="0"/>
        <v>90</v>
      </c>
    </row>
    <row r="33" spans="1:6" x14ac:dyDescent="0.35">
      <c r="A33" s="13" t="s">
        <v>135</v>
      </c>
      <c r="B33" s="4">
        <v>150</v>
      </c>
      <c r="C33">
        <v>1</v>
      </c>
      <c r="D33" s="4">
        <v>150</v>
      </c>
      <c r="E33">
        <v>1</v>
      </c>
      <c r="F33" s="4">
        <f t="shared" si="0"/>
        <v>150</v>
      </c>
    </row>
    <row r="34" spans="1:6" x14ac:dyDescent="0.35">
      <c r="A34" s="13" t="s">
        <v>214</v>
      </c>
      <c r="B34" s="4">
        <v>150</v>
      </c>
      <c r="C34">
        <v>1</v>
      </c>
      <c r="D34" s="4">
        <v>150</v>
      </c>
      <c r="E34">
        <v>1</v>
      </c>
      <c r="F34" s="4">
        <f t="shared" si="0"/>
        <v>150</v>
      </c>
    </row>
    <row r="35" spans="1:6" x14ac:dyDescent="0.35">
      <c r="A35" s="13" t="s">
        <v>282</v>
      </c>
      <c r="B35" s="4">
        <v>710</v>
      </c>
      <c r="C35">
        <v>1</v>
      </c>
      <c r="D35" s="4">
        <v>710</v>
      </c>
      <c r="E35">
        <v>1</v>
      </c>
      <c r="F35" s="4">
        <f t="shared" si="0"/>
        <v>710</v>
      </c>
    </row>
    <row r="36" spans="1:6" x14ac:dyDescent="0.35">
      <c r="A36" s="13" t="s">
        <v>96</v>
      </c>
      <c r="B36" s="4">
        <v>770</v>
      </c>
      <c r="C36">
        <v>5</v>
      </c>
      <c r="D36" s="4">
        <v>770</v>
      </c>
      <c r="E36">
        <v>5</v>
      </c>
      <c r="F36" s="4">
        <f t="shared" si="0"/>
        <v>154</v>
      </c>
    </row>
    <row r="37" spans="1:6" x14ac:dyDescent="0.35">
      <c r="A37" s="13" t="s">
        <v>88</v>
      </c>
      <c r="B37" s="4">
        <v>5490</v>
      </c>
      <c r="C37">
        <v>59</v>
      </c>
      <c r="D37" s="4">
        <v>5490</v>
      </c>
      <c r="E37">
        <v>59</v>
      </c>
      <c r="F37" s="4">
        <f t="shared" si="0"/>
        <v>93.050847457627114</v>
      </c>
    </row>
    <row r="38" spans="1:6" x14ac:dyDescent="0.35">
      <c r="A38" s="13" t="s">
        <v>271</v>
      </c>
      <c r="B38" s="4">
        <v>110</v>
      </c>
      <c r="C38">
        <v>1</v>
      </c>
      <c r="D38" s="4">
        <v>110</v>
      </c>
      <c r="E38">
        <v>1</v>
      </c>
      <c r="F38" s="4">
        <f t="shared" si="0"/>
        <v>110</v>
      </c>
    </row>
    <row r="39" spans="1:6" x14ac:dyDescent="0.35">
      <c r="A39" s="13" t="s">
        <v>148</v>
      </c>
      <c r="B39" s="4">
        <v>840</v>
      </c>
      <c r="C39">
        <v>1</v>
      </c>
      <c r="D39" s="4">
        <v>840</v>
      </c>
      <c r="E39">
        <v>1</v>
      </c>
      <c r="F39" s="4">
        <f t="shared" si="0"/>
        <v>840</v>
      </c>
    </row>
    <row r="40" spans="1:6" x14ac:dyDescent="0.35">
      <c r="A40" s="13" t="s">
        <v>91</v>
      </c>
      <c r="B40" s="4">
        <v>3190</v>
      </c>
      <c r="C40">
        <v>10</v>
      </c>
      <c r="D40" s="4">
        <v>3190</v>
      </c>
      <c r="E40">
        <v>10</v>
      </c>
      <c r="F40" s="4">
        <f t="shared" si="0"/>
        <v>319</v>
      </c>
    </row>
    <row r="41" spans="1:6" x14ac:dyDescent="0.35">
      <c r="A41" s="13" t="s">
        <v>101</v>
      </c>
      <c r="B41" s="4">
        <v>650</v>
      </c>
      <c r="C41">
        <v>1</v>
      </c>
      <c r="D41" s="4">
        <v>650</v>
      </c>
      <c r="E41">
        <v>1</v>
      </c>
      <c r="F41" s="4">
        <f t="shared" si="0"/>
        <v>650</v>
      </c>
    </row>
    <row r="42" spans="1:6" x14ac:dyDescent="0.35">
      <c r="A42" s="13" t="s">
        <v>90</v>
      </c>
      <c r="B42" s="4">
        <v>3810</v>
      </c>
      <c r="C42">
        <v>19</v>
      </c>
      <c r="D42" s="4">
        <v>3810</v>
      </c>
      <c r="E42">
        <v>19</v>
      </c>
      <c r="F42" s="4">
        <f t="shared" si="0"/>
        <v>200.52631578947367</v>
      </c>
    </row>
    <row r="43" spans="1:6" x14ac:dyDescent="0.35">
      <c r="A43" s="13" t="s">
        <v>296</v>
      </c>
      <c r="B43" s="4">
        <v>1150</v>
      </c>
      <c r="C43">
        <v>1</v>
      </c>
      <c r="D43" s="4">
        <v>1150</v>
      </c>
      <c r="E43">
        <v>1</v>
      </c>
      <c r="F43" s="4">
        <f t="shared" si="0"/>
        <v>1150</v>
      </c>
    </row>
    <row r="44" spans="1:6" x14ac:dyDescent="0.35">
      <c r="A44" s="13" t="s">
        <v>144</v>
      </c>
      <c r="B44" s="4">
        <v>1250</v>
      </c>
      <c r="C44">
        <v>1</v>
      </c>
      <c r="D44" s="4">
        <v>1250</v>
      </c>
      <c r="E44">
        <v>1</v>
      </c>
      <c r="F44" s="4">
        <f t="shared" si="0"/>
        <v>1250</v>
      </c>
    </row>
    <row r="45" spans="1:6" x14ac:dyDescent="0.35">
      <c r="A45" s="13" t="s">
        <v>97</v>
      </c>
      <c r="B45" s="4">
        <v>1680</v>
      </c>
      <c r="C45">
        <v>5</v>
      </c>
      <c r="D45" s="4">
        <v>1680</v>
      </c>
      <c r="E45">
        <v>5</v>
      </c>
      <c r="F45" s="4">
        <f t="shared" si="0"/>
        <v>336</v>
      </c>
    </row>
    <row r="46" spans="1:6" x14ac:dyDescent="0.35">
      <c r="A46" s="13" t="s">
        <v>277</v>
      </c>
      <c r="B46" s="4">
        <v>350</v>
      </c>
      <c r="C46">
        <v>1</v>
      </c>
      <c r="D46" s="4">
        <v>350</v>
      </c>
      <c r="E46">
        <v>1</v>
      </c>
      <c r="F46" s="4">
        <f t="shared" si="0"/>
        <v>350</v>
      </c>
    </row>
    <row r="47" spans="1:6" x14ac:dyDescent="0.35">
      <c r="A47" s="13" t="s">
        <v>151</v>
      </c>
      <c r="B47" s="4">
        <v>390</v>
      </c>
      <c r="C47">
        <v>1</v>
      </c>
      <c r="D47" s="4">
        <v>390</v>
      </c>
      <c r="E47">
        <v>1</v>
      </c>
      <c r="F47" s="4">
        <f t="shared" si="0"/>
        <v>390</v>
      </c>
    </row>
    <row r="48" spans="1:6" x14ac:dyDescent="0.35">
      <c r="A48" s="13" t="s">
        <v>99</v>
      </c>
      <c r="B48" s="4">
        <v>150</v>
      </c>
      <c r="C48">
        <v>1</v>
      </c>
      <c r="D48" s="4">
        <v>150</v>
      </c>
      <c r="E48">
        <v>1</v>
      </c>
      <c r="F48" s="4">
        <f t="shared" si="0"/>
        <v>150</v>
      </c>
    </row>
    <row r="49" spans="1:6" x14ac:dyDescent="0.35">
      <c r="A49" s="13" t="s">
        <v>215</v>
      </c>
      <c r="B49" s="4">
        <v>120</v>
      </c>
      <c r="C49">
        <v>1</v>
      </c>
      <c r="D49" s="4">
        <v>120</v>
      </c>
      <c r="E49">
        <v>1</v>
      </c>
      <c r="F49" s="4">
        <f t="shared" si="0"/>
        <v>120</v>
      </c>
    </row>
    <row r="50" spans="1:6" x14ac:dyDescent="0.35">
      <c r="A50" s="13" t="s">
        <v>298</v>
      </c>
      <c r="B50" s="4">
        <v>390</v>
      </c>
      <c r="C50">
        <v>1</v>
      </c>
      <c r="D50" s="4">
        <v>390</v>
      </c>
      <c r="E50">
        <v>1</v>
      </c>
      <c r="F50" s="4">
        <f t="shared" si="0"/>
        <v>390</v>
      </c>
    </row>
    <row r="51" spans="1:6" x14ac:dyDescent="0.35">
      <c r="A51" s="13" t="s">
        <v>136</v>
      </c>
      <c r="B51" s="4">
        <v>580</v>
      </c>
      <c r="C51">
        <v>2</v>
      </c>
      <c r="D51" s="4">
        <v>580</v>
      </c>
      <c r="E51">
        <v>2</v>
      </c>
      <c r="F51" s="4">
        <f t="shared" si="0"/>
        <v>290</v>
      </c>
    </row>
    <row r="52" spans="1:6" x14ac:dyDescent="0.35">
      <c r="A52" s="13" t="s">
        <v>278</v>
      </c>
      <c r="B52" s="4">
        <v>210</v>
      </c>
      <c r="C52">
        <v>1</v>
      </c>
      <c r="D52" s="4">
        <v>210</v>
      </c>
      <c r="E52">
        <v>1</v>
      </c>
      <c r="F52" s="4">
        <f t="shared" si="0"/>
        <v>210</v>
      </c>
    </row>
    <row r="53" spans="1:6" x14ac:dyDescent="0.35">
      <c r="A53" s="13" t="s">
        <v>93</v>
      </c>
      <c r="B53" s="4">
        <v>480</v>
      </c>
      <c r="C53">
        <v>1</v>
      </c>
      <c r="D53" s="4">
        <v>480</v>
      </c>
      <c r="E53">
        <v>1</v>
      </c>
      <c r="F53" s="4">
        <f t="shared" si="0"/>
        <v>480</v>
      </c>
    </row>
    <row r="54" spans="1:6" x14ac:dyDescent="0.35">
      <c r="A54" s="13" t="s">
        <v>134</v>
      </c>
      <c r="B54" s="4">
        <v>400</v>
      </c>
      <c r="C54">
        <v>3</v>
      </c>
      <c r="D54" s="4">
        <v>400</v>
      </c>
      <c r="E54">
        <v>3</v>
      </c>
      <c r="F54" s="4">
        <f t="shared" si="0"/>
        <v>133.33333333333334</v>
      </c>
    </row>
    <row r="55" spans="1:6" x14ac:dyDescent="0.35">
      <c r="A55" s="13" t="s">
        <v>313</v>
      </c>
      <c r="B55" s="4">
        <v>55095</v>
      </c>
      <c r="C55">
        <v>225</v>
      </c>
      <c r="D55">
        <f t="shared" ref="D55" si="1">GETPIVOTDATA("Sum of Transaction Amount",$A$1,"Receiver's Location","Agra")/GETPIVOTDATA("Count of Tracking Number",$A$1,"Receiver's Location","Agra")</f>
        <v>160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270CF-A4DA-42D2-A8A3-92A1D75CA2B7}">
  <dimension ref="A1:B9"/>
  <sheetViews>
    <sheetView zoomScale="99" workbookViewId="0">
      <selection activeCell="B13" sqref="B13"/>
    </sheetView>
  </sheetViews>
  <sheetFormatPr defaultRowHeight="14.5" x14ac:dyDescent="0.35"/>
  <cols>
    <col min="1" max="1" width="12.453125" bestFit="1" customWidth="1"/>
    <col min="2" max="2" width="16.6328125" bestFit="1" customWidth="1"/>
  </cols>
  <sheetData>
    <row r="1" spans="1:2" x14ac:dyDescent="0.35">
      <c r="A1" s="12" t="s">
        <v>312</v>
      </c>
      <c r="B1" t="s">
        <v>368</v>
      </c>
    </row>
    <row r="2" spans="1:2" x14ac:dyDescent="0.35">
      <c r="A2" s="13" t="s">
        <v>361</v>
      </c>
      <c r="B2" s="14">
        <v>1.3333333333333334E-2</v>
      </c>
    </row>
    <row r="3" spans="1:2" x14ac:dyDescent="0.35">
      <c r="A3" s="13" t="s">
        <v>362</v>
      </c>
      <c r="B3" s="14">
        <v>0.28000000000000003</v>
      </c>
    </row>
    <row r="4" spans="1:2" x14ac:dyDescent="0.35">
      <c r="A4" s="13" t="s">
        <v>363</v>
      </c>
      <c r="B4" s="14">
        <v>8.4444444444444447E-2</v>
      </c>
    </row>
    <row r="5" spans="1:2" x14ac:dyDescent="0.35">
      <c r="A5" s="13" t="s">
        <v>364</v>
      </c>
      <c r="B5" s="14">
        <v>0.12444444444444444</v>
      </c>
    </row>
    <row r="6" spans="1:2" x14ac:dyDescent="0.35">
      <c r="A6" s="13" t="s">
        <v>365</v>
      </c>
      <c r="B6" s="14">
        <v>0.10222222222222223</v>
      </c>
    </row>
    <row r="7" spans="1:2" x14ac:dyDescent="0.35">
      <c r="A7" s="13" t="s">
        <v>366</v>
      </c>
      <c r="B7" s="14">
        <v>0.19555555555555557</v>
      </c>
    </row>
    <row r="8" spans="1:2" x14ac:dyDescent="0.35">
      <c r="A8" s="13" t="s">
        <v>367</v>
      </c>
      <c r="B8" s="14">
        <v>0.2</v>
      </c>
    </row>
    <row r="9" spans="1:2" x14ac:dyDescent="0.35">
      <c r="A9" s="13" t="s">
        <v>313</v>
      </c>
      <c r="B9" s="14">
        <v>1</v>
      </c>
    </row>
  </sheetData>
  <phoneticPr fontId="2" type="noConversion"/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CB8F0-B25A-4878-B877-3147B650B591}">
  <dimension ref="A1:P226"/>
  <sheetViews>
    <sheetView tabSelected="1" topLeftCell="D1" zoomScale="72" zoomScaleNormal="80" workbookViewId="0">
      <selection activeCell="I7" sqref="I7"/>
    </sheetView>
  </sheetViews>
  <sheetFormatPr defaultColWidth="17.1796875" defaultRowHeight="14.5" x14ac:dyDescent="0.35"/>
  <cols>
    <col min="1" max="2" width="18.1796875" customWidth="1"/>
    <col min="5" max="5" width="9.26953125" customWidth="1"/>
    <col min="6" max="6" width="19" style="4" customWidth="1"/>
    <col min="9" max="9" width="15.453125" customWidth="1"/>
    <col min="10" max="10" width="12.08984375" customWidth="1"/>
    <col min="11" max="11" width="15.26953125" customWidth="1"/>
    <col min="14" max="14" width="25.08984375" customWidth="1"/>
    <col min="16" max="16" width="16.54296875" bestFit="1" customWidth="1"/>
  </cols>
  <sheetData>
    <row r="1" spans="1:16" s="3" customFormat="1" ht="30.5" customHeight="1" x14ac:dyDescent="0.35">
      <c r="A1" s="2" t="s">
        <v>5</v>
      </c>
      <c r="B1" s="2" t="s">
        <v>316</v>
      </c>
      <c r="C1" s="2" t="s">
        <v>0</v>
      </c>
      <c r="D1" s="2" t="s">
        <v>1</v>
      </c>
      <c r="E1" s="2" t="s">
        <v>2</v>
      </c>
      <c r="F1" s="5" t="s">
        <v>6</v>
      </c>
      <c r="G1" s="2" t="s">
        <v>3</v>
      </c>
      <c r="H1" s="2" t="s">
        <v>4</v>
      </c>
      <c r="I1" s="2" t="s">
        <v>7</v>
      </c>
      <c r="J1" s="2" t="s">
        <v>8</v>
      </c>
      <c r="K1" s="2" t="s">
        <v>84</v>
      </c>
      <c r="L1" s="2" t="s">
        <v>107</v>
      </c>
      <c r="M1" s="15" t="s">
        <v>334</v>
      </c>
      <c r="N1" s="15" t="s">
        <v>335</v>
      </c>
      <c r="O1" s="15" t="s">
        <v>331</v>
      </c>
      <c r="P1" s="15" t="s">
        <v>360</v>
      </c>
    </row>
    <row r="2" spans="1:16" x14ac:dyDescent="0.35">
      <c r="A2" s="1">
        <v>45566</v>
      </c>
      <c r="B2" s="1" t="str">
        <f>TEXT(A2,"mmmm-yyyy")</f>
        <v>October-2024</v>
      </c>
      <c r="C2" t="s">
        <v>161</v>
      </c>
      <c r="D2" t="s">
        <v>142</v>
      </c>
      <c r="E2" t="s">
        <v>85</v>
      </c>
      <c r="F2" s="4">
        <v>680</v>
      </c>
      <c r="G2" t="s">
        <v>81</v>
      </c>
      <c r="H2" t="s">
        <v>131</v>
      </c>
      <c r="I2" t="s">
        <v>315</v>
      </c>
      <c r="J2" t="s">
        <v>83</v>
      </c>
      <c r="K2" s="1">
        <v>45568</v>
      </c>
      <c r="L2" t="s">
        <v>83</v>
      </c>
      <c r="M2">
        <f t="shared" ref="M2:M65" si="0">IF(E2="Delivered",K2-A2,"")</f>
        <v>2</v>
      </c>
      <c r="N2" s="16">
        <f>AVERAGEIF(H:H,H2,M:M)</f>
        <v>2.2000000000000002</v>
      </c>
      <c r="O2" t="str">
        <f>IF(M2&gt;N2,"Delayed","On Time")</f>
        <v>On Time</v>
      </c>
      <c r="P2" t="s">
        <v>363</v>
      </c>
    </row>
    <row r="3" spans="1:16" x14ac:dyDescent="0.35">
      <c r="A3" s="1">
        <v>45566</v>
      </c>
      <c r="B3" s="1" t="str">
        <f t="shared" ref="B3:B66" si="1">TEXT(A3,"mmmm-yyyy")</f>
        <v>October-2024</v>
      </c>
      <c r="C3" t="s">
        <v>162</v>
      </c>
      <c r="D3" t="s">
        <v>142</v>
      </c>
      <c r="E3" t="s">
        <v>85</v>
      </c>
      <c r="F3" s="4">
        <v>310</v>
      </c>
      <c r="G3" t="s">
        <v>81</v>
      </c>
      <c r="H3" t="s">
        <v>89</v>
      </c>
      <c r="I3" t="s">
        <v>315</v>
      </c>
      <c r="J3" t="s">
        <v>83</v>
      </c>
      <c r="K3" s="1">
        <v>45568</v>
      </c>
      <c r="L3" t="s">
        <v>83</v>
      </c>
      <c r="M3">
        <f t="shared" si="0"/>
        <v>2</v>
      </c>
      <c r="N3" s="16">
        <f t="shared" ref="N3:N66" si="2">AVERAGEIF(H:H,H3,M:M)</f>
        <v>1.7</v>
      </c>
      <c r="O3" t="str">
        <f t="shared" ref="O3:O66" si="3">IF(M3&gt;N3,"Delayed","On Time")</f>
        <v>Delayed</v>
      </c>
      <c r="P3" t="s">
        <v>363</v>
      </c>
    </row>
    <row r="4" spans="1:16" x14ac:dyDescent="0.35">
      <c r="A4" s="1">
        <v>45568</v>
      </c>
      <c r="B4" s="1" t="str">
        <f t="shared" si="1"/>
        <v>October-2024</v>
      </c>
      <c r="C4" t="s">
        <v>173</v>
      </c>
      <c r="D4" t="s">
        <v>108</v>
      </c>
      <c r="E4" t="s">
        <v>85</v>
      </c>
      <c r="F4" s="4">
        <v>320</v>
      </c>
      <c r="G4" t="s">
        <v>81</v>
      </c>
      <c r="H4" t="s">
        <v>86</v>
      </c>
      <c r="I4" t="s">
        <v>315</v>
      </c>
      <c r="J4" t="s">
        <v>146</v>
      </c>
      <c r="K4" s="1">
        <v>45572</v>
      </c>
      <c r="L4" t="s">
        <v>83</v>
      </c>
      <c r="M4">
        <f t="shared" si="0"/>
        <v>4</v>
      </c>
      <c r="N4" s="16">
        <f t="shared" si="2"/>
        <v>2.1428571428571428</v>
      </c>
      <c r="O4" t="str">
        <f t="shared" si="3"/>
        <v>Delayed</v>
      </c>
      <c r="P4" t="s">
        <v>365</v>
      </c>
    </row>
    <row r="5" spans="1:16" x14ac:dyDescent="0.35">
      <c r="A5" s="1">
        <v>45568</v>
      </c>
      <c r="B5" s="1" t="str">
        <f t="shared" si="1"/>
        <v>October-2024</v>
      </c>
      <c r="C5" t="s">
        <v>174</v>
      </c>
      <c r="D5" t="s">
        <v>108</v>
      </c>
      <c r="E5" t="s">
        <v>104</v>
      </c>
      <c r="F5" s="4">
        <v>140</v>
      </c>
      <c r="G5" t="s">
        <v>81</v>
      </c>
      <c r="H5" t="s">
        <v>90</v>
      </c>
      <c r="I5" t="s">
        <v>315</v>
      </c>
      <c r="J5" t="s">
        <v>83</v>
      </c>
      <c r="K5" s="1">
        <v>45580</v>
      </c>
      <c r="L5" s="1">
        <v>45604</v>
      </c>
      <c r="M5" t="s">
        <v>83</v>
      </c>
      <c r="N5" s="16">
        <f t="shared" si="2"/>
        <v>2.0555555555555554</v>
      </c>
      <c r="O5" t="s">
        <v>83</v>
      </c>
      <c r="P5" t="s">
        <v>365</v>
      </c>
    </row>
    <row r="6" spans="1:16" x14ac:dyDescent="0.35">
      <c r="A6" s="1">
        <v>45568</v>
      </c>
      <c r="B6" s="1" t="str">
        <f t="shared" si="1"/>
        <v>October-2024</v>
      </c>
      <c r="C6" t="s">
        <v>175</v>
      </c>
      <c r="D6" t="s">
        <v>108</v>
      </c>
      <c r="E6" t="s">
        <v>85</v>
      </c>
      <c r="F6" s="4">
        <v>150</v>
      </c>
      <c r="G6" t="s">
        <v>81</v>
      </c>
      <c r="H6" t="s">
        <v>90</v>
      </c>
      <c r="I6" t="s">
        <v>315</v>
      </c>
      <c r="J6" t="s">
        <v>83</v>
      </c>
      <c r="K6" s="1">
        <v>45570</v>
      </c>
      <c r="L6" t="s">
        <v>83</v>
      </c>
      <c r="M6">
        <f t="shared" si="0"/>
        <v>2</v>
      </c>
      <c r="N6" s="16">
        <f t="shared" si="2"/>
        <v>2.0555555555555554</v>
      </c>
      <c r="O6" t="str">
        <f t="shared" si="3"/>
        <v>On Time</v>
      </c>
      <c r="P6" t="s">
        <v>365</v>
      </c>
    </row>
    <row r="7" spans="1:16" x14ac:dyDescent="0.35">
      <c r="A7" s="1">
        <v>45568</v>
      </c>
      <c r="B7" s="1" t="str">
        <f t="shared" si="1"/>
        <v>October-2024</v>
      </c>
      <c r="C7" t="s">
        <v>176</v>
      </c>
      <c r="D7" t="s">
        <v>108</v>
      </c>
      <c r="E7" t="s">
        <v>85</v>
      </c>
      <c r="F7" s="4">
        <v>100</v>
      </c>
      <c r="G7" t="s">
        <v>81</v>
      </c>
      <c r="H7" t="s">
        <v>88</v>
      </c>
      <c r="I7" t="s">
        <v>315</v>
      </c>
      <c r="J7" t="s">
        <v>83</v>
      </c>
      <c r="K7" s="1">
        <v>45570</v>
      </c>
      <c r="L7" t="s">
        <v>83</v>
      </c>
      <c r="M7">
        <f t="shared" si="0"/>
        <v>2</v>
      </c>
      <c r="N7" s="16">
        <f t="shared" si="2"/>
        <v>2.406779661016949</v>
      </c>
      <c r="O7" t="str">
        <f t="shared" si="3"/>
        <v>On Time</v>
      </c>
      <c r="P7" t="s">
        <v>365</v>
      </c>
    </row>
    <row r="8" spans="1:16" x14ac:dyDescent="0.35">
      <c r="A8" s="1">
        <v>45568</v>
      </c>
      <c r="B8" s="1" t="str">
        <f t="shared" si="1"/>
        <v>October-2024</v>
      </c>
      <c r="C8" t="s">
        <v>177</v>
      </c>
      <c r="D8" t="s">
        <v>108</v>
      </c>
      <c r="E8" t="s">
        <v>85</v>
      </c>
      <c r="F8" s="4">
        <v>350</v>
      </c>
      <c r="G8" t="s">
        <v>81</v>
      </c>
      <c r="H8" t="s">
        <v>178</v>
      </c>
      <c r="I8" t="s">
        <v>315</v>
      </c>
      <c r="J8" t="s">
        <v>94</v>
      </c>
      <c r="K8" s="1">
        <v>45570</v>
      </c>
      <c r="L8" t="s">
        <v>83</v>
      </c>
      <c r="M8">
        <f t="shared" si="0"/>
        <v>2</v>
      </c>
      <c r="N8" s="16">
        <f t="shared" si="2"/>
        <v>2</v>
      </c>
      <c r="O8" t="str">
        <f t="shared" si="3"/>
        <v>On Time</v>
      </c>
      <c r="P8" t="s">
        <v>365</v>
      </c>
    </row>
    <row r="9" spans="1:16" x14ac:dyDescent="0.35">
      <c r="A9" s="1">
        <v>45568</v>
      </c>
      <c r="B9" s="1" t="str">
        <f t="shared" si="1"/>
        <v>October-2024</v>
      </c>
      <c r="C9" t="s">
        <v>216</v>
      </c>
      <c r="D9" t="s">
        <v>108</v>
      </c>
      <c r="E9" t="s">
        <v>85</v>
      </c>
      <c r="F9" s="4">
        <v>230</v>
      </c>
      <c r="G9" t="s">
        <v>81</v>
      </c>
      <c r="H9" t="s">
        <v>270</v>
      </c>
      <c r="I9" t="s">
        <v>315</v>
      </c>
      <c r="J9" t="s">
        <v>83</v>
      </c>
      <c r="K9" s="1">
        <v>45570</v>
      </c>
      <c r="L9" t="s">
        <v>83</v>
      </c>
      <c r="M9">
        <f t="shared" si="0"/>
        <v>2</v>
      </c>
      <c r="N9" s="16">
        <f t="shared" si="2"/>
        <v>2</v>
      </c>
      <c r="O9" t="str">
        <f t="shared" si="3"/>
        <v>On Time</v>
      </c>
      <c r="P9" t="s">
        <v>365</v>
      </c>
    </row>
    <row r="10" spans="1:16" x14ac:dyDescent="0.35">
      <c r="A10" s="1">
        <v>45568</v>
      </c>
      <c r="B10" s="1" t="str">
        <f t="shared" si="1"/>
        <v>October-2024</v>
      </c>
      <c r="C10" t="s">
        <v>217</v>
      </c>
      <c r="D10" t="s">
        <v>108</v>
      </c>
      <c r="E10" t="s">
        <v>85</v>
      </c>
      <c r="F10" s="4">
        <v>720</v>
      </c>
      <c r="G10" t="s">
        <v>81</v>
      </c>
      <c r="H10" t="s">
        <v>91</v>
      </c>
      <c r="I10" t="s">
        <v>315</v>
      </c>
      <c r="J10" t="s">
        <v>83</v>
      </c>
      <c r="K10" s="1">
        <v>45572</v>
      </c>
      <c r="L10" t="s">
        <v>83</v>
      </c>
      <c r="M10">
        <f t="shared" si="0"/>
        <v>4</v>
      </c>
      <c r="N10" s="16">
        <f t="shared" si="2"/>
        <v>3.4</v>
      </c>
      <c r="O10" t="str">
        <f t="shared" si="3"/>
        <v>Delayed</v>
      </c>
      <c r="P10" t="s">
        <v>365</v>
      </c>
    </row>
    <row r="11" spans="1:16" x14ac:dyDescent="0.35">
      <c r="A11" s="1">
        <v>45568</v>
      </c>
      <c r="B11" s="1" t="str">
        <f t="shared" si="1"/>
        <v>October-2024</v>
      </c>
      <c r="C11" t="s">
        <v>218</v>
      </c>
      <c r="D11" t="s">
        <v>108</v>
      </c>
      <c r="E11" t="s">
        <v>85</v>
      </c>
      <c r="F11" s="4">
        <v>90</v>
      </c>
      <c r="G11" t="s">
        <v>81</v>
      </c>
      <c r="H11" t="s">
        <v>270</v>
      </c>
      <c r="I11" t="s">
        <v>315</v>
      </c>
      <c r="J11" t="s">
        <v>83</v>
      </c>
      <c r="K11" s="1">
        <v>45570</v>
      </c>
      <c r="L11" t="s">
        <v>83</v>
      </c>
      <c r="M11">
        <f t="shared" si="0"/>
        <v>2</v>
      </c>
      <c r="N11" s="16">
        <f t="shared" si="2"/>
        <v>2</v>
      </c>
      <c r="O11" t="str">
        <f t="shared" si="3"/>
        <v>On Time</v>
      </c>
      <c r="P11" t="s">
        <v>365</v>
      </c>
    </row>
    <row r="12" spans="1:16" x14ac:dyDescent="0.35">
      <c r="A12" s="1">
        <v>45568</v>
      </c>
      <c r="B12" s="1" t="str">
        <f t="shared" si="1"/>
        <v>October-2024</v>
      </c>
      <c r="C12" t="s">
        <v>164</v>
      </c>
      <c r="D12" t="s">
        <v>142</v>
      </c>
      <c r="E12" t="s">
        <v>85</v>
      </c>
      <c r="F12" s="4">
        <v>270</v>
      </c>
      <c r="G12" t="s">
        <v>81</v>
      </c>
      <c r="H12" t="s">
        <v>171</v>
      </c>
      <c r="I12" t="s">
        <v>315</v>
      </c>
      <c r="J12" t="s">
        <v>83</v>
      </c>
      <c r="K12" s="1">
        <v>45572</v>
      </c>
      <c r="L12" t="s">
        <v>83</v>
      </c>
      <c r="M12">
        <f t="shared" si="0"/>
        <v>4</v>
      </c>
      <c r="N12" s="16">
        <f t="shared" si="2"/>
        <v>4</v>
      </c>
      <c r="O12" t="str">
        <f t="shared" si="3"/>
        <v>On Time</v>
      </c>
      <c r="P12" t="s">
        <v>365</v>
      </c>
    </row>
    <row r="13" spans="1:16" x14ac:dyDescent="0.35">
      <c r="A13" s="1">
        <v>45568</v>
      </c>
      <c r="B13" s="1" t="str">
        <f t="shared" si="1"/>
        <v>October-2024</v>
      </c>
      <c r="C13" t="s">
        <v>165</v>
      </c>
      <c r="D13" t="s">
        <v>142</v>
      </c>
      <c r="E13" t="s">
        <v>85</v>
      </c>
      <c r="F13" s="4">
        <v>500</v>
      </c>
      <c r="G13" t="s">
        <v>81</v>
      </c>
      <c r="H13" t="s">
        <v>89</v>
      </c>
      <c r="I13" t="s">
        <v>315</v>
      </c>
      <c r="J13" t="s">
        <v>169</v>
      </c>
      <c r="K13" s="1">
        <v>45569</v>
      </c>
      <c r="L13" t="s">
        <v>83</v>
      </c>
      <c r="M13">
        <f t="shared" si="0"/>
        <v>1</v>
      </c>
      <c r="N13" s="16">
        <f t="shared" si="2"/>
        <v>1.7</v>
      </c>
      <c r="O13" t="str">
        <f t="shared" si="3"/>
        <v>On Time</v>
      </c>
      <c r="P13" t="s">
        <v>365</v>
      </c>
    </row>
    <row r="14" spans="1:16" x14ac:dyDescent="0.35">
      <c r="A14" s="1">
        <v>45569</v>
      </c>
      <c r="B14" s="1" t="str">
        <f t="shared" si="1"/>
        <v>October-2024</v>
      </c>
      <c r="C14" t="s">
        <v>155</v>
      </c>
      <c r="D14" t="s">
        <v>108</v>
      </c>
      <c r="E14" t="s">
        <v>85</v>
      </c>
      <c r="F14" s="4">
        <v>480</v>
      </c>
      <c r="G14" t="s">
        <v>81</v>
      </c>
      <c r="H14" t="s">
        <v>88</v>
      </c>
      <c r="I14" t="s">
        <v>314</v>
      </c>
      <c r="J14" t="s">
        <v>94</v>
      </c>
      <c r="K14" s="1">
        <v>45572</v>
      </c>
      <c r="L14" t="s">
        <v>83</v>
      </c>
      <c r="M14">
        <f t="shared" si="0"/>
        <v>3</v>
      </c>
      <c r="N14" s="16">
        <f t="shared" si="2"/>
        <v>2.406779661016949</v>
      </c>
      <c r="O14" t="str">
        <f t="shared" si="3"/>
        <v>Delayed</v>
      </c>
      <c r="P14" t="s">
        <v>366</v>
      </c>
    </row>
    <row r="15" spans="1:16" x14ac:dyDescent="0.35">
      <c r="A15" s="1">
        <v>45569</v>
      </c>
      <c r="B15" s="1" t="str">
        <f t="shared" si="1"/>
        <v>October-2024</v>
      </c>
      <c r="C15" t="s">
        <v>213</v>
      </c>
      <c r="D15" t="s">
        <v>108</v>
      </c>
      <c r="E15" t="s">
        <v>85</v>
      </c>
      <c r="F15" s="4">
        <v>90</v>
      </c>
      <c r="G15" t="s">
        <v>81</v>
      </c>
      <c r="H15" t="s">
        <v>88</v>
      </c>
      <c r="I15" t="s">
        <v>315</v>
      </c>
      <c r="J15" t="s">
        <v>83</v>
      </c>
      <c r="K15" s="1">
        <v>45572</v>
      </c>
      <c r="L15" t="s">
        <v>83</v>
      </c>
      <c r="M15">
        <f t="shared" si="0"/>
        <v>3</v>
      </c>
      <c r="N15" s="16">
        <f t="shared" si="2"/>
        <v>2.406779661016949</v>
      </c>
      <c r="O15" t="str">
        <f t="shared" si="3"/>
        <v>Delayed</v>
      </c>
      <c r="P15" t="s">
        <v>366</v>
      </c>
    </row>
    <row r="16" spans="1:16" x14ac:dyDescent="0.35">
      <c r="A16" s="1">
        <v>45569</v>
      </c>
      <c r="B16" s="1" t="str">
        <f t="shared" si="1"/>
        <v>October-2024</v>
      </c>
      <c r="C16" t="s">
        <v>219</v>
      </c>
      <c r="D16" t="s">
        <v>108</v>
      </c>
      <c r="E16" t="s">
        <v>85</v>
      </c>
      <c r="F16" s="4">
        <v>140</v>
      </c>
      <c r="G16" t="s">
        <v>81</v>
      </c>
      <c r="H16" t="s">
        <v>87</v>
      </c>
      <c r="I16" t="s">
        <v>315</v>
      </c>
      <c r="J16" t="s">
        <v>83</v>
      </c>
      <c r="K16" s="1">
        <v>45571</v>
      </c>
      <c r="L16" t="s">
        <v>83</v>
      </c>
      <c r="M16">
        <f t="shared" si="0"/>
        <v>2</v>
      </c>
      <c r="N16" s="16">
        <f t="shared" si="2"/>
        <v>3.5185185185185186</v>
      </c>
      <c r="O16" t="str">
        <f t="shared" si="3"/>
        <v>On Time</v>
      </c>
      <c r="P16" t="s">
        <v>366</v>
      </c>
    </row>
    <row r="17" spans="1:16" x14ac:dyDescent="0.35">
      <c r="A17" s="1">
        <v>45569</v>
      </c>
      <c r="B17" s="1" t="str">
        <f t="shared" si="1"/>
        <v>October-2024</v>
      </c>
      <c r="C17" t="s">
        <v>220</v>
      </c>
      <c r="D17" t="s">
        <v>108</v>
      </c>
      <c r="E17" t="s">
        <v>85</v>
      </c>
      <c r="F17" s="4">
        <v>140</v>
      </c>
      <c r="G17" t="s">
        <v>81</v>
      </c>
      <c r="H17" t="s">
        <v>87</v>
      </c>
      <c r="I17" t="s">
        <v>315</v>
      </c>
      <c r="J17" t="s">
        <v>83</v>
      </c>
      <c r="K17" s="1">
        <v>45571</v>
      </c>
      <c r="L17" t="s">
        <v>83</v>
      </c>
      <c r="M17">
        <f t="shared" si="0"/>
        <v>2</v>
      </c>
      <c r="N17" s="16">
        <f t="shared" si="2"/>
        <v>3.5185185185185186</v>
      </c>
      <c r="O17" t="str">
        <f t="shared" si="3"/>
        <v>On Time</v>
      </c>
      <c r="P17" t="s">
        <v>366</v>
      </c>
    </row>
    <row r="18" spans="1:16" x14ac:dyDescent="0.35">
      <c r="A18" s="1">
        <v>45569</v>
      </c>
      <c r="B18" s="1" t="str">
        <f t="shared" si="1"/>
        <v>October-2024</v>
      </c>
      <c r="C18" t="s">
        <v>221</v>
      </c>
      <c r="D18" t="s">
        <v>108</v>
      </c>
      <c r="E18" t="s">
        <v>85</v>
      </c>
      <c r="F18" s="4">
        <v>140</v>
      </c>
      <c r="G18" t="s">
        <v>81</v>
      </c>
      <c r="H18" t="s">
        <v>87</v>
      </c>
      <c r="I18" t="s">
        <v>315</v>
      </c>
      <c r="J18" t="s">
        <v>83</v>
      </c>
      <c r="K18" s="1">
        <v>45571</v>
      </c>
      <c r="L18" t="s">
        <v>83</v>
      </c>
      <c r="M18">
        <f t="shared" si="0"/>
        <v>2</v>
      </c>
      <c r="N18" s="16">
        <f t="shared" si="2"/>
        <v>3.5185185185185186</v>
      </c>
      <c r="O18" t="str">
        <f t="shared" si="3"/>
        <v>On Time</v>
      </c>
      <c r="P18" t="s">
        <v>366</v>
      </c>
    </row>
    <row r="19" spans="1:16" x14ac:dyDescent="0.35">
      <c r="A19" s="1">
        <v>45569</v>
      </c>
      <c r="B19" s="1" t="str">
        <f t="shared" si="1"/>
        <v>October-2024</v>
      </c>
      <c r="C19" t="s">
        <v>222</v>
      </c>
      <c r="D19" t="s">
        <v>108</v>
      </c>
      <c r="E19" t="s">
        <v>85</v>
      </c>
      <c r="F19" s="4">
        <v>140</v>
      </c>
      <c r="G19" t="s">
        <v>81</v>
      </c>
      <c r="H19" t="s">
        <v>87</v>
      </c>
      <c r="I19" t="s">
        <v>315</v>
      </c>
      <c r="J19" t="s">
        <v>83</v>
      </c>
      <c r="K19" s="1">
        <v>45571</v>
      </c>
      <c r="L19" t="s">
        <v>83</v>
      </c>
      <c r="M19">
        <f t="shared" si="0"/>
        <v>2</v>
      </c>
      <c r="N19" s="16">
        <f t="shared" si="2"/>
        <v>3.5185185185185186</v>
      </c>
      <c r="O19" t="str">
        <f t="shared" si="3"/>
        <v>On Time</v>
      </c>
      <c r="P19" t="s">
        <v>366</v>
      </c>
    </row>
    <row r="20" spans="1:16" x14ac:dyDescent="0.35">
      <c r="A20" s="1">
        <v>45569</v>
      </c>
      <c r="B20" s="1" t="str">
        <f t="shared" si="1"/>
        <v>October-2024</v>
      </c>
      <c r="C20" t="s">
        <v>223</v>
      </c>
      <c r="D20" t="s">
        <v>108</v>
      </c>
      <c r="E20" t="s">
        <v>85</v>
      </c>
      <c r="F20" s="4">
        <v>140</v>
      </c>
      <c r="G20" t="s">
        <v>81</v>
      </c>
      <c r="H20" t="s">
        <v>87</v>
      </c>
      <c r="I20" t="s">
        <v>315</v>
      </c>
      <c r="J20" t="s">
        <v>83</v>
      </c>
      <c r="K20" s="1">
        <v>45571</v>
      </c>
      <c r="L20" t="s">
        <v>83</v>
      </c>
      <c r="M20">
        <f t="shared" si="0"/>
        <v>2</v>
      </c>
      <c r="N20" s="16">
        <f t="shared" si="2"/>
        <v>3.5185185185185186</v>
      </c>
      <c r="O20" t="str">
        <f t="shared" si="3"/>
        <v>On Time</v>
      </c>
      <c r="P20" t="s">
        <v>366</v>
      </c>
    </row>
    <row r="21" spans="1:16" x14ac:dyDescent="0.35">
      <c r="A21" s="1">
        <v>45569</v>
      </c>
      <c r="B21" s="1" t="str">
        <f t="shared" si="1"/>
        <v>October-2024</v>
      </c>
      <c r="C21" t="s">
        <v>224</v>
      </c>
      <c r="D21" t="s">
        <v>108</v>
      </c>
      <c r="E21" t="s">
        <v>85</v>
      </c>
      <c r="F21" s="4">
        <v>140</v>
      </c>
      <c r="G21" t="s">
        <v>81</v>
      </c>
      <c r="H21" t="s">
        <v>87</v>
      </c>
      <c r="I21" t="s">
        <v>315</v>
      </c>
      <c r="J21" t="s">
        <v>83</v>
      </c>
      <c r="K21" s="1">
        <v>45571</v>
      </c>
      <c r="L21" t="s">
        <v>83</v>
      </c>
      <c r="M21">
        <f t="shared" si="0"/>
        <v>2</v>
      </c>
      <c r="N21" s="16">
        <f t="shared" si="2"/>
        <v>3.5185185185185186</v>
      </c>
      <c r="O21" t="str">
        <f t="shared" si="3"/>
        <v>On Time</v>
      </c>
      <c r="P21" t="s">
        <v>366</v>
      </c>
    </row>
    <row r="22" spans="1:16" x14ac:dyDescent="0.35">
      <c r="A22" s="1">
        <v>45569</v>
      </c>
      <c r="B22" s="1" t="str">
        <f t="shared" si="1"/>
        <v>October-2024</v>
      </c>
      <c r="C22" t="s">
        <v>225</v>
      </c>
      <c r="D22" t="s">
        <v>108</v>
      </c>
      <c r="E22" t="s">
        <v>85</v>
      </c>
      <c r="F22" s="4">
        <v>140</v>
      </c>
      <c r="G22" t="s">
        <v>81</v>
      </c>
      <c r="H22" t="s">
        <v>87</v>
      </c>
      <c r="I22" t="s">
        <v>315</v>
      </c>
      <c r="J22" t="s">
        <v>83</v>
      </c>
      <c r="K22" s="1">
        <v>45571</v>
      </c>
      <c r="L22" t="s">
        <v>83</v>
      </c>
      <c r="M22">
        <f t="shared" si="0"/>
        <v>2</v>
      </c>
      <c r="N22" s="16">
        <f t="shared" si="2"/>
        <v>3.5185185185185186</v>
      </c>
      <c r="O22" t="str">
        <f t="shared" si="3"/>
        <v>On Time</v>
      </c>
      <c r="P22" t="s">
        <v>366</v>
      </c>
    </row>
    <row r="23" spans="1:16" x14ac:dyDescent="0.35">
      <c r="A23" s="1">
        <v>45569</v>
      </c>
      <c r="B23" s="1" t="str">
        <f t="shared" si="1"/>
        <v>October-2024</v>
      </c>
      <c r="C23" t="s">
        <v>226</v>
      </c>
      <c r="D23" t="s">
        <v>108</v>
      </c>
      <c r="E23" t="s">
        <v>85</v>
      </c>
      <c r="F23" s="4">
        <v>140</v>
      </c>
      <c r="G23" t="s">
        <v>81</v>
      </c>
      <c r="H23" t="s">
        <v>87</v>
      </c>
      <c r="I23" t="s">
        <v>315</v>
      </c>
      <c r="J23" t="s">
        <v>83</v>
      </c>
      <c r="K23" s="1">
        <v>45571</v>
      </c>
      <c r="L23" t="s">
        <v>83</v>
      </c>
      <c r="M23">
        <f t="shared" si="0"/>
        <v>2</v>
      </c>
      <c r="N23" s="16">
        <f t="shared" si="2"/>
        <v>3.5185185185185186</v>
      </c>
      <c r="O23" t="str">
        <f t="shared" si="3"/>
        <v>On Time</v>
      </c>
      <c r="P23" t="s">
        <v>366</v>
      </c>
    </row>
    <row r="24" spans="1:16" x14ac:dyDescent="0.35">
      <c r="A24" s="1">
        <v>45569</v>
      </c>
      <c r="B24" s="1" t="str">
        <f t="shared" si="1"/>
        <v>October-2024</v>
      </c>
      <c r="C24" t="s">
        <v>227</v>
      </c>
      <c r="D24" t="s">
        <v>108</v>
      </c>
      <c r="E24" t="s">
        <v>85</v>
      </c>
      <c r="F24" s="4">
        <v>140</v>
      </c>
      <c r="G24" t="s">
        <v>81</v>
      </c>
      <c r="H24" t="s">
        <v>87</v>
      </c>
      <c r="I24" t="s">
        <v>315</v>
      </c>
      <c r="J24" t="s">
        <v>83</v>
      </c>
      <c r="K24" s="1">
        <v>45571</v>
      </c>
      <c r="L24" t="s">
        <v>83</v>
      </c>
      <c r="M24">
        <f t="shared" si="0"/>
        <v>2</v>
      </c>
      <c r="N24" s="16">
        <f t="shared" si="2"/>
        <v>3.5185185185185186</v>
      </c>
      <c r="O24" t="str">
        <f t="shared" si="3"/>
        <v>On Time</v>
      </c>
      <c r="P24" t="s">
        <v>366</v>
      </c>
    </row>
    <row r="25" spans="1:16" x14ac:dyDescent="0.35">
      <c r="A25" s="1">
        <v>45569</v>
      </c>
      <c r="B25" s="1" t="str">
        <f t="shared" si="1"/>
        <v>October-2024</v>
      </c>
      <c r="C25" t="s">
        <v>228</v>
      </c>
      <c r="D25" t="s">
        <v>108</v>
      </c>
      <c r="E25" t="s">
        <v>85</v>
      </c>
      <c r="F25" s="4">
        <v>170</v>
      </c>
      <c r="G25" t="s">
        <v>81</v>
      </c>
      <c r="H25" t="s">
        <v>87</v>
      </c>
      <c r="I25" t="s">
        <v>315</v>
      </c>
      <c r="J25" t="s">
        <v>83</v>
      </c>
      <c r="K25" s="1">
        <v>45571</v>
      </c>
      <c r="L25" t="s">
        <v>83</v>
      </c>
      <c r="M25">
        <f t="shared" si="0"/>
        <v>2</v>
      </c>
      <c r="N25" s="16">
        <f t="shared" si="2"/>
        <v>3.5185185185185186</v>
      </c>
      <c r="O25" t="str">
        <f t="shared" si="3"/>
        <v>On Time</v>
      </c>
      <c r="P25" t="s">
        <v>366</v>
      </c>
    </row>
    <row r="26" spans="1:16" x14ac:dyDescent="0.35">
      <c r="A26" s="1">
        <v>45569</v>
      </c>
      <c r="B26" s="1" t="str">
        <f t="shared" si="1"/>
        <v>October-2024</v>
      </c>
      <c r="C26" t="s">
        <v>229</v>
      </c>
      <c r="D26" t="s">
        <v>108</v>
      </c>
      <c r="E26" t="s">
        <v>85</v>
      </c>
      <c r="F26" s="4">
        <v>90</v>
      </c>
      <c r="G26" t="s">
        <v>81</v>
      </c>
      <c r="H26" t="s">
        <v>90</v>
      </c>
      <c r="I26" t="s">
        <v>315</v>
      </c>
      <c r="J26" t="s">
        <v>83</v>
      </c>
      <c r="K26" s="1">
        <v>45572</v>
      </c>
      <c r="L26" t="s">
        <v>83</v>
      </c>
      <c r="M26">
        <f t="shared" si="0"/>
        <v>3</v>
      </c>
      <c r="N26" s="16">
        <f t="shared" si="2"/>
        <v>2.0555555555555554</v>
      </c>
      <c r="O26" t="str">
        <f t="shared" si="3"/>
        <v>Delayed</v>
      </c>
      <c r="P26" t="s">
        <v>366</v>
      </c>
    </row>
    <row r="27" spans="1:16" x14ac:dyDescent="0.35">
      <c r="A27" s="1">
        <v>45569</v>
      </c>
      <c r="B27" s="1" t="str">
        <f t="shared" si="1"/>
        <v>October-2024</v>
      </c>
      <c r="C27" t="s">
        <v>230</v>
      </c>
      <c r="D27" t="s">
        <v>108</v>
      </c>
      <c r="E27" t="s">
        <v>85</v>
      </c>
      <c r="F27" s="4">
        <v>140</v>
      </c>
      <c r="G27" t="s">
        <v>81</v>
      </c>
      <c r="H27" t="s">
        <v>131</v>
      </c>
      <c r="I27" t="s">
        <v>315</v>
      </c>
      <c r="J27" t="s">
        <v>83</v>
      </c>
      <c r="K27" s="1">
        <v>45572</v>
      </c>
      <c r="L27" t="s">
        <v>83</v>
      </c>
      <c r="M27">
        <f t="shared" si="0"/>
        <v>3</v>
      </c>
      <c r="N27" s="16">
        <f t="shared" si="2"/>
        <v>2.2000000000000002</v>
      </c>
      <c r="O27" t="str">
        <f t="shared" si="3"/>
        <v>Delayed</v>
      </c>
      <c r="P27" t="s">
        <v>366</v>
      </c>
    </row>
    <row r="28" spans="1:16" x14ac:dyDescent="0.35">
      <c r="A28" s="1">
        <v>45569</v>
      </c>
      <c r="B28" s="1" t="str">
        <f t="shared" si="1"/>
        <v>October-2024</v>
      </c>
      <c r="C28" t="s">
        <v>231</v>
      </c>
      <c r="D28" t="s">
        <v>108</v>
      </c>
      <c r="E28" t="s">
        <v>85</v>
      </c>
      <c r="F28" s="4">
        <v>170</v>
      </c>
      <c r="G28" t="s">
        <v>81</v>
      </c>
      <c r="H28" t="s">
        <v>89</v>
      </c>
      <c r="I28" t="s">
        <v>315</v>
      </c>
      <c r="J28" t="s">
        <v>83</v>
      </c>
      <c r="K28" s="1">
        <v>45572</v>
      </c>
      <c r="L28" t="s">
        <v>83</v>
      </c>
      <c r="M28">
        <f t="shared" si="0"/>
        <v>3</v>
      </c>
      <c r="N28" s="16">
        <f t="shared" si="2"/>
        <v>1.7</v>
      </c>
      <c r="O28" t="str">
        <f t="shared" si="3"/>
        <v>Delayed</v>
      </c>
      <c r="P28" t="s">
        <v>366</v>
      </c>
    </row>
    <row r="29" spans="1:16" x14ac:dyDescent="0.35">
      <c r="A29" s="1">
        <v>45569</v>
      </c>
      <c r="B29" s="1" t="str">
        <f t="shared" si="1"/>
        <v>October-2024</v>
      </c>
      <c r="C29" t="s">
        <v>232</v>
      </c>
      <c r="D29" t="s">
        <v>108</v>
      </c>
      <c r="E29" t="s">
        <v>85</v>
      </c>
      <c r="F29" s="4">
        <v>70</v>
      </c>
      <c r="G29" t="s">
        <v>81</v>
      </c>
      <c r="H29" t="s">
        <v>88</v>
      </c>
      <c r="I29" t="s">
        <v>315</v>
      </c>
      <c r="J29" t="s">
        <v>83</v>
      </c>
      <c r="K29" s="1">
        <v>45572</v>
      </c>
      <c r="L29" t="s">
        <v>83</v>
      </c>
      <c r="M29">
        <f t="shared" si="0"/>
        <v>3</v>
      </c>
      <c r="N29" s="16">
        <f t="shared" si="2"/>
        <v>2.406779661016949</v>
      </c>
      <c r="O29" t="str">
        <f t="shared" si="3"/>
        <v>Delayed</v>
      </c>
      <c r="P29" t="s">
        <v>366</v>
      </c>
    </row>
    <row r="30" spans="1:16" x14ac:dyDescent="0.35">
      <c r="A30" s="1">
        <v>45569</v>
      </c>
      <c r="B30" s="1" t="str">
        <f t="shared" si="1"/>
        <v>October-2024</v>
      </c>
      <c r="C30" t="s">
        <v>233</v>
      </c>
      <c r="D30" t="s">
        <v>108</v>
      </c>
      <c r="E30" t="s">
        <v>85</v>
      </c>
      <c r="F30" s="4">
        <v>70</v>
      </c>
      <c r="G30" t="s">
        <v>81</v>
      </c>
      <c r="H30" t="s">
        <v>88</v>
      </c>
      <c r="I30" t="s">
        <v>315</v>
      </c>
      <c r="J30" t="s">
        <v>83</v>
      </c>
      <c r="K30" s="1">
        <v>45572</v>
      </c>
      <c r="L30" t="s">
        <v>83</v>
      </c>
      <c r="M30">
        <f t="shared" si="0"/>
        <v>3</v>
      </c>
      <c r="N30" s="16">
        <f t="shared" si="2"/>
        <v>2.406779661016949</v>
      </c>
      <c r="O30" t="str">
        <f t="shared" si="3"/>
        <v>Delayed</v>
      </c>
      <c r="P30" t="s">
        <v>366</v>
      </c>
    </row>
    <row r="31" spans="1:16" x14ac:dyDescent="0.35">
      <c r="A31" s="1">
        <v>45569</v>
      </c>
      <c r="B31" s="1" t="str">
        <f t="shared" si="1"/>
        <v>October-2024</v>
      </c>
      <c r="C31" t="s">
        <v>234</v>
      </c>
      <c r="D31" t="s">
        <v>108</v>
      </c>
      <c r="E31" t="s">
        <v>85</v>
      </c>
      <c r="F31" s="4">
        <v>70</v>
      </c>
      <c r="G31" t="s">
        <v>81</v>
      </c>
      <c r="H31" t="s">
        <v>88</v>
      </c>
      <c r="I31" t="s">
        <v>315</v>
      </c>
      <c r="J31" t="s">
        <v>83</v>
      </c>
      <c r="K31" s="1">
        <v>45572</v>
      </c>
      <c r="L31" t="s">
        <v>83</v>
      </c>
      <c r="M31">
        <f t="shared" si="0"/>
        <v>3</v>
      </c>
      <c r="N31" s="16">
        <f t="shared" si="2"/>
        <v>2.406779661016949</v>
      </c>
      <c r="O31" t="str">
        <f t="shared" si="3"/>
        <v>Delayed</v>
      </c>
      <c r="P31" t="s">
        <v>366</v>
      </c>
    </row>
    <row r="32" spans="1:16" x14ac:dyDescent="0.35">
      <c r="A32" s="1">
        <v>45569</v>
      </c>
      <c r="B32" s="1" t="str">
        <f t="shared" si="1"/>
        <v>October-2024</v>
      </c>
      <c r="C32" t="s">
        <v>235</v>
      </c>
      <c r="D32" t="s">
        <v>108</v>
      </c>
      <c r="E32" t="s">
        <v>85</v>
      </c>
      <c r="F32" s="4">
        <v>70</v>
      </c>
      <c r="G32" t="s">
        <v>81</v>
      </c>
      <c r="H32" t="s">
        <v>88</v>
      </c>
      <c r="I32" t="s">
        <v>315</v>
      </c>
      <c r="J32" t="s">
        <v>83</v>
      </c>
      <c r="K32" s="1">
        <v>45572</v>
      </c>
      <c r="L32" t="s">
        <v>83</v>
      </c>
      <c r="M32">
        <f t="shared" si="0"/>
        <v>3</v>
      </c>
      <c r="N32" s="16">
        <f t="shared" si="2"/>
        <v>2.406779661016949</v>
      </c>
      <c r="O32" t="str">
        <f t="shared" si="3"/>
        <v>Delayed</v>
      </c>
      <c r="P32" t="s">
        <v>366</v>
      </c>
    </row>
    <row r="33" spans="1:16" x14ac:dyDescent="0.35">
      <c r="A33" s="1">
        <v>45569</v>
      </c>
      <c r="B33" s="1" t="str">
        <f t="shared" si="1"/>
        <v>October-2024</v>
      </c>
      <c r="C33" t="s">
        <v>236</v>
      </c>
      <c r="D33" t="s">
        <v>108</v>
      </c>
      <c r="E33" t="s">
        <v>85</v>
      </c>
      <c r="F33" s="4">
        <v>70</v>
      </c>
      <c r="G33" t="s">
        <v>81</v>
      </c>
      <c r="H33" t="s">
        <v>88</v>
      </c>
      <c r="I33" t="s">
        <v>315</v>
      </c>
      <c r="J33" t="s">
        <v>83</v>
      </c>
      <c r="K33" s="1">
        <v>45572</v>
      </c>
      <c r="L33" t="s">
        <v>83</v>
      </c>
      <c r="M33">
        <f t="shared" si="0"/>
        <v>3</v>
      </c>
      <c r="N33" s="16">
        <f t="shared" si="2"/>
        <v>2.406779661016949</v>
      </c>
      <c r="O33" t="str">
        <f t="shared" si="3"/>
        <v>Delayed</v>
      </c>
      <c r="P33" t="s">
        <v>366</v>
      </c>
    </row>
    <row r="34" spans="1:16" x14ac:dyDescent="0.35">
      <c r="A34" s="1">
        <v>45569</v>
      </c>
      <c r="B34" s="1" t="str">
        <f t="shared" si="1"/>
        <v>October-2024</v>
      </c>
      <c r="C34" t="s">
        <v>237</v>
      </c>
      <c r="D34" t="s">
        <v>108</v>
      </c>
      <c r="E34" t="s">
        <v>85</v>
      </c>
      <c r="F34" s="4">
        <v>140</v>
      </c>
      <c r="G34" t="s">
        <v>81</v>
      </c>
      <c r="H34" t="s">
        <v>97</v>
      </c>
      <c r="I34" t="s">
        <v>315</v>
      </c>
      <c r="J34" t="s">
        <v>83</v>
      </c>
      <c r="K34" s="1">
        <v>45573</v>
      </c>
      <c r="L34" t="s">
        <v>83</v>
      </c>
      <c r="M34">
        <f t="shared" si="0"/>
        <v>4</v>
      </c>
      <c r="N34" s="16">
        <f t="shared" si="2"/>
        <v>3.6</v>
      </c>
      <c r="O34" t="str">
        <f t="shared" si="3"/>
        <v>Delayed</v>
      </c>
      <c r="P34" t="s">
        <v>366</v>
      </c>
    </row>
    <row r="35" spans="1:16" x14ac:dyDescent="0.35">
      <c r="A35" s="1">
        <v>45569</v>
      </c>
      <c r="B35" s="1" t="str">
        <f t="shared" si="1"/>
        <v>October-2024</v>
      </c>
      <c r="C35" t="s">
        <v>238</v>
      </c>
      <c r="D35" t="s">
        <v>108</v>
      </c>
      <c r="E35" t="s">
        <v>85</v>
      </c>
      <c r="F35" s="4">
        <v>110</v>
      </c>
      <c r="G35" t="s">
        <v>81</v>
      </c>
      <c r="H35" t="s">
        <v>271</v>
      </c>
      <c r="I35" t="s">
        <v>315</v>
      </c>
      <c r="J35" t="s">
        <v>83</v>
      </c>
      <c r="K35" s="1">
        <v>45572</v>
      </c>
      <c r="L35" t="s">
        <v>83</v>
      </c>
      <c r="M35">
        <f t="shared" si="0"/>
        <v>3</v>
      </c>
      <c r="N35" s="16">
        <f t="shared" si="2"/>
        <v>3</v>
      </c>
      <c r="O35" t="str">
        <f t="shared" si="3"/>
        <v>On Time</v>
      </c>
      <c r="P35" t="s">
        <v>366</v>
      </c>
    </row>
    <row r="36" spans="1:16" x14ac:dyDescent="0.35">
      <c r="A36" s="1">
        <v>45569</v>
      </c>
      <c r="B36" s="1" t="str">
        <f t="shared" si="1"/>
        <v>October-2024</v>
      </c>
      <c r="C36" t="s">
        <v>239</v>
      </c>
      <c r="D36" t="s">
        <v>108</v>
      </c>
      <c r="E36" t="s">
        <v>85</v>
      </c>
      <c r="F36" s="4">
        <v>90</v>
      </c>
      <c r="G36" t="s">
        <v>81</v>
      </c>
      <c r="H36" t="s">
        <v>130</v>
      </c>
      <c r="I36" t="s">
        <v>315</v>
      </c>
      <c r="J36" t="s">
        <v>83</v>
      </c>
      <c r="K36" s="1">
        <v>45570</v>
      </c>
      <c r="L36" t="s">
        <v>83</v>
      </c>
      <c r="M36">
        <f t="shared" si="0"/>
        <v>1</v>
      </c>
      <c r="N36" s="16">
        <f t="shared" si="2"/>
        <v>1.5</v>
      </c>
      <c r="O36" t="str">
        <f t="shared" si="3"/>
        <v>On Time</v>
      </c>
      <c r="P36" t="s">
        <v>366</v>
      </c>
    </row>
    <row r="37" spans="1:16" x14ac:dyDescent="0.35">
      <c r="A37" s="1">
        <v>45569</v>
      </c>
      <c r="B37" s="1" t="str">
        <f t="shared" si="1"/>
        <v>October-2024</v>
      </c>
      <c r="C37" t="s">
        <v>240</v>
      </c>
      <c r="D37" t="s">
        <v>108</v>
      </c>
      <c r="E37" t="s">
        <v>85</v>
      </c>
      <c r="F37" s="4">
        <v>250</v>
      </c>
      <c r="G37" t="s">
        <v>81</v>
      </c>
      <c r="H37" t="s">
        <v>275</v>
      </c>
      <c r="I37" t="s">
        <v>315</v>
      </c>
      <c r="J37" t="s">
        <v>83</v>
      </c>
      <c r="K37" s="1">
        <v>45581</v>
      </c>
      <c r="L37" t="s">
        <v>83</v>
      </c>
      <c r="M37">
        <f t="shared" si="0"/>
        <v>12</v>
      </c>
      <c r="N37" s="16">
        <f t="shared" si="2"/>
        <v>12</v>
      </c>
      <c r="O37" t="str">
        <f t="shared" si="3"/>
        <v>On Time</v>
      </c>
      <c r="P37" t="s">
        <v>366</v>
      </c>
    </row>
    <row r="38" spans="1:16" x14ac:dyDescent="0.35">
      <c r="A38" s="1">
        <v>45569</v>
      </c>
      <c r="B38" s="1" t="str">
        <f t="shared" si="1"/>
        <v>October-2024</v>
      </c>
      <c r="C38" t="s">
        <v>241</v>
      </c>
      <c r="D38" t="s">
        <v>108</v>
      </c>
      <c r="E38" t="s">
        <v>85</v>
      </c>
      <c r="F38" s="4">
        <v>320</v>
      </c>
      <c r="G38" t="s">
        <v>81</v>
      </c>
      <c r="H38" t="s">
        <v>91</v>
      </c>
      <c r="I38" t="s">
        <v>315</v>
      </c>
      <c r="J38" t="s">
        <v>272</v>
      </c>
      <c r="K38" s="1">
        <v>45572</v>
      </c>
      <c r="L38" t="s">
        <v>83</v>
      </c>
      <c r="M38">
        <f t="shared" si="0"/>
        <v>3</v>
      </c>
      <c r="N38" s="16">
        <f t="shared" si="2"/>
        <v>3.4</v>
      </c>
      <c r="O38" t="str">
        <f t="shared" si="3"/>
        <v>On Time</v>
      </c>
      <c r="P38" t="s">
        <v>366</v>
      </c>
    </row>
    <row r="39" spans="1:16" x14ac:dyDescent="0.35">
      <c r="A39" s="1">
        <v>45569</v>
      </c>
      <c r="B39" s="1" t="str">
        <f t="shared" si="1"/>
        <v>October-2024</v>
      </c>
      <c r="C39" t="s">
        <v>163</v>
      </c>
      <c r="D39" t="s">
        <v>142</v>
      </c>
      <c r="E39" t="s">
        <v>85</v>
      </c>
      <c r="F39" s="4">
        <v>500</v>
      </c>
      <c r="G39" t="s">
        <v>81</v>
      </c>
      <c r="H39" t="s">
        <v>89</v>
      </c>
      <c r="I39" t="s">
        <v>315</v>
      </c>
      <c r="J39" t="s">
        <v>169</v>
      </c>
      <c r="K39" s="1">
        <v>45569</v>
      </c>
      <c r="L39" t="s">
        <v>83</v>
      </c>
      <c r="M39">
        <f t="shared" si="0"/>
        <v>0</v>
      </c>
      <c r="N39" s="16">
        <f t="shared" si="2"/>
        <v>1.7</v>
      </c>
      <c r="O39" t="str">
        <f t="shared" si="3"/>
        <v>On Time</v>
      </c>
      <c r="P39" t="s">
        <v>366</v>
      </c>
    </row>
    <row r="40" spans="1:16" x14ac:dyDescent="0.35">
      <c r="A40" s="1">
        <v>45569</v>
      </c>
      <c r="B40" s="1" t="str">
        <f t="shared" si="1"/>
        <v>October-2024</v>
      </c>
      <c r="C40" t="s">
        <v>166</v>
      </c>
      <c r="D40" t="s">
        <v>142</v>
      </c>
      <c r="E40" t="s">
        <v>85</v>
      </c>
      <c r="F40" s="4">
        <v>310</v>
      </c>
      <c r="G40" t="s">
        <v>81</v>
      </c>
      <c r="H40" t="s">
        <v>89</v>
      </c>
      <c r="I40" t="s">
        <v>315</v>
      </c>
      <c r="J40" t="s">
        <v>83</v>
      </c>
      <c r="K40" s="1">
        <v>45570</v>
      </c>
      <c r="L40" t="s">
        <v>83</v>
      </c>
      <c r="M40">
        <f t="shared" si="0"/>
        <v>1</v>
      </c>
      <c r="N40" s="16">
        <f t="shared" si="2"/>
        <v>1.7</v>
      </c>
      <c r="O40" t="str">
        <f t="shared" si="3"/>
        <v>On Time</v>
      </c>
      <c r="P40" t="s">
        <v>366</v>
      </c>
    </row>
    <row r="41" spans="1:16" x14ac:dyDescent="0.35">
      <c r="A41" s="1">
        <v>45569</v>
      </c>
      <c r="B41" s="1" t="str">
        <f t="shared" si="1"/>
        <v>October-2024</v>
      </c>
      <c r="C41" t="s">
        <v>167</v>
      </c>
      <c r="D41" t="s">
        <v>142</v>
      </c>
      <c r="E41" t="s">
        <v>85</v>
      </c>
      <c r="F41" s="4">
        <v>270</v>
      </c>
      <c r="G41" t="s">
        <v>81</v>
      </c>
      <c r="H41" t="s">
        <v>90</v>
      </c>
      <c r="I41" t="s">
        <v>315</v>
      </c>
      <c r="J41" t="s">
        <v>150</v>
      </c>
      <c r="K41" s="1">
        <v>45570</v>
      </c>
      <c r="L41" t="s">
        <v>83</v>
      </c>
      <c r="M41">
        <f t="shared" si="0"/>
        <v>1</v>
      </c>
      <c r="N41" s="16">
        <f t="shared" si="2"/>
        <v>2.0555555555555554</v>
      </c>
      <c r="O41" t="str">
        <f t="shared" si="3"/>
        <v>On Time</v>
      </c>
      <c r="P41" t="s">
        <v>366</v>
      </c>
    </row>
    <row r="42" spans="1:16" x14ac:dyDescent="0.35">
      <c r="A42" s="1">
        <v>45570</v>
      </c>
      <c r="B42" s="1" t="str">
        <f t="shared" si="1"/>
        <v>October-2024</v>
      </c>
      <c r="C42" t="s">
        <v>156</v>
      </c>
      <c r="D42" t="s">
        <v>108</v>
      </c>
      <c r="E42" t="s">
        <v>85</v>
      </c>
      <c r="F42" s="4">
        <v>640</v>
      </c>
      <c r="G42" t="s">
        <v>81</v>
      </c>
      <c r="H42" t="s">
        <v>86</v>
      </c>
      <c r="I42" t="s">
        <v>314</v>
      </c>
      <c r="J42" t="s">
        <v>146</v>
      </c>
      <c r="K42" s="1">
        <v>45572</v>
      </c>
      <c r="L42" t="s">
        <v>83</v>
      </c>
      <c r="M42">
        <f t="shared" si="0"/>
        <v>2</v>
      </c>
      <c r="N42" s="16">
        <f t="shared" si="2"/>
        <v>2.1428571428571428</v>
      </c>
      <c r="O42" t="str">
        <f t="shared" si="3"/>
        <v>On Time</v>
      </c>
      <c r="P42" t="s">
        <v>367</v>
      </c>
    </row>
    <row r="43" spans="1:16" x14ac:dyDescent="0.35">
      <c r="A43" s="1">
        <v>45570</v>
      </c>
      <c r="B43" s="1" t="str">
        <f t="shared" si="1"/>
        <v>October-2024</v>
      </c>
      <c r="C43" t="s">
        <v>157</v>
      </c>
      <c r="D43" t="s">
        <v>108</v>
      </c>
      <c r="E43" t="s">
        <v>85</v>
      </c>
      <c r="F43" s="4">
        <v>1000</v>
      </c>
      <c r="G43" t="s">
        <v>81</v>
      </c>
      <c r="H43" t="s">
        <v>86</v>
      </c>
      <c r="I43" t="s">
        <v>314</v>
      </c>
      <c r="J43" t="s">
        <v>159</v>
      </c>
      <c r="K43" s="1">
        <v>45572</v>
      </c>
      <c r="L43" t="s">
        <v>83</v>
      </c>
      <c r="M43">
        <f t="shared" si="0"/>
        <v>2</v>
      </c>
      <c r="N43" s="16">
        <f t="shared" si="2"/>
        <v>2.1428571428571428</v>
      </c>
      <c r="O43" t="str">
        <f t="shared" si="3"/>
        <v>On Time</v>
      </c>
      <c r="P43" t="s">
        <v>367</v>
      </c>
    </row>
    <row r="44" spans="1:16" x14ac:dyDescent="0.35">
      <c r="A44" s="1">
        <v>45570</v>
      </c>
      <c r="B44" s="1" t="str">
        <f t="shared" si="1"/>
        <v>October-2024</v>
      </c>
      <c r="C44" t="s">
        <v>158</v>
      </c>
      <c r="D44" t="s">
        <v>108</v>
      </c>
      <c r="E44" t="s">
        <v>85</v>
      </c>
      <c r="F44" s="4">
        <v>1540</v>
      </c>
      <c r="G44" t="s">
        <v>81</v>
      </c>
      <c r="H44" t="s">
        <v>160</v>
      </c>
      <c r="I44" t="s">
        <v>314</v>
      </c>
      <c r="J44" t="s">
        <v>94</v>
      </c>
      <c r="K44" s="1">
        <v>45573</v>
      </c>
      <c r="L44" t="s">
        <v>83</v>
      </c>
      <c r="M44">
        <f t="shared" si="0"/>
        <v>3</v>
      </c>
      <c r="N44" s="16">
        <f t="shared" si="2"/>
        <v>3</v>
      </c>
      <c r="O44" t="str">
        <f t="shared" si="3"/>
        <v>On Time</v>
      </c>
      <c r="P44" t="s">
        <v>367</v>
      </c>
    </row>
    <row r="45" spans="1:16" x14ac:dyDescent="0.35">
      <c r="A45" s="1">
        <v>45570</v>
      </c>
      <c r="B45" s="1" t="str">
        <f t="shared" si="1"/>
        <v>October-2024</v>
      </c>
      <c r="C45" t="s">
        <v>242</v>
      </c>
      <c r="D45" t="s">
        <v>108</v>
      </c>
      <c r="E45" t="s">
        <v>85</v>
      </c>
      <c r="F45" s="4">
        <v>110</v>
      </c>
      <c r="G45" t="s">
        <v>81</v>
      </c>
      <c r="H45" t="s">
        <v>132</v>
      </c>
      <c r="I45" t="s">
        <v>315</v>
      </c>
      <c r="J45" t="s">
        <v>83</v>
      </c>
      <c r="K45" s="1">
        <v>45573</v>
      </c>
      <c r="L45" t="s">
        <v>83</v>
      </c>
      <c r="M45">
        <f t="shared" si="0"/>
        <v>3</v>
      </c>
      <c r="N45" s="16">
        <f t="shared" si="2"/>
        <v>2.3333333333333335</v>
      </c>
      <c r="O45" t="str">
        <f t="shared" si="3"/>
        <v>Delayed</v>
      </c>
      <c r="P45" t="s">
        <v>367</v>
      </c>
    </row>
    <row r="46" spans="1:16" x14ac:dyDescent="0.35">
      <c r="A46" s="1">
        <v>45570</v>
      </c>
      <c r="B46" s="1" t="str">
        <f t="shared" si="1"/>
        <v>October-2024</v>
      </c>
      <c r="C46" t="s">
        <v>243</v>
      </c>
      <c r="D46" t="s">
        <v>108</v>
      </c>
      <c r="E46" t="s">
        <v>85</v>
      </c>
      <c r="F46" s="4">
        <v>210</v>
      </c>
      <c r="G46" t="s">
        <v>81</v>
      </c>
      <c r="H46" t="s">
        <v>96</v>
      </c>
      <c r="I46" t="s">
        <v>315</v>
      </c>
      <c r="J46" t="s">
        <v>83</v>
      </c>
      <c r="K46" s="1">
        <v>45573</v>
      </c>
      <c r="L46" t="s">
        <v>83</v>
      </c>
      <c r="M46">
        <f t="shared" si="0"/>
        <v>3</v>
      </c>
      <c r="N46" s="16">
        <f t="shared" si="2"/>
        <v>4.5999999999999996</v>
      </c>
      <c r="O46" t="str">
        <f t="shared" si="3"/>
        <v>On Time</v>
      </c>
      <c r="P46" t="s">
        <v>367</v>
      </c>
    </row>
    <row r="47" spans="1:16" x14ac:dyDescent="0.35">
      <c r="A47" s="1">
        <v>45570</v>
      </c>
      <c r="B47" s="1" t="str">
        <f t="shared" si="1"/>
        <v>October-2024</v>
      </c>
      <c r="C47" t="s">
        <v>244</v>
      </c>
      <c r="D47" t="s">
        <v>108</v>
      </c>
      <c r="E47" t="s">
        <v>85</v>
      </c>
      <c r="F47" s="4">
        <v>150</v>
      </c>
      <c r="G47" t="s">
        <v>81</v>
      </c>
      <c r="H47" t="s">
        <v>276</v>
      </c>
      <c r="I47" t="s">
        <v>315</v>
      </c>
      <c r="J47" t="s">
        <v>94</v>
      </c>
      <c r="K47" s="1">
        <v>45573</v>
      </c>
      <c r="L47" t="s">
        <v>83</v>
      </c>
      <c r="M47">
        <f t="shared" si="0"/>
        <v>3</v>
      </c>
      <c r="N47" s="16">
        <f t="shared" si="2"/>
        <v>3</v>
      </c>
      <c r="O47" t="str">
        <f t="shared" si="3"/>
        <v>On Time</v>
      </c>
      <c r="P47" t="s">
        <v>367</v>
      </c>
    </row>
    <row r="48" spans="1:16" x14ac:dyDescent="0.35">
      <c r="A48" s="1">
        <v>45570</v>
      </c>
      <c r="B48" s="1" t="str">
        <f t="shared" si="1"/>
        <v>October-2024</v>
      </c>
      <c r="C48" t="s">
        <v>245</v>
      </c>
      <c r="D48" t="s">
        <v>108</v>
      </c>
      <c r="E48" t="s">
        <v>85</v>
      </c>
      <c r="F48" s="4">
        <v>350</v>
      </c>
      <c r="G48" t="s">
        <v>81</v>
      </c>
      <c r="H48" t="s">
        <v>277</v>
      </c>
      <c r="I48" t="s">
        <v>315</v>
      </c>
      <c r="J48" t="s">
        <v>94</v>
      </c>
      <c r="K48" s="1">
        <v>45573</v>
      </c>
      <c r="L48" t="s">
        <v>83</v>
      </c>
      <c r="M48">
        <f t="shared" si="0"/>
        <v>3</v>
      </c>
      <c r="N48" s="16">
        <f t="shared" si="2"/>
        <v>3</v>
      </c>
      <c r="O48" t="str">
        <f t="shared" si="3"/>
        <v>On Time</v>
      </c>
      <c r="P48" t="s">
        <v>367</v>
      </c>
    </row>
    <row r="49" spans="1:16" x14ac:dyDescent="0.35">
      <c r="A49" s="1">
        <v>45570</v>
      </c>
      <c r="B49" s="1" t="str">
        <f t="shared" si="1"/>
        <v>October-2024</v>
      </c>
      <c r="C49" t="s">
        <v>246</v>
      </c>
      <c r="D49" t="s">
        <v>108</v>
      </c>
      <c r="E49" t="s">
        <v>85</v>
      </c>
      <c r="F49" s="4">
        <v>120</v>
      </c>
      <c r="G49" t="s">
        <v>81</v>
      </c>
      <c r="H49" t="s">
        <v>88</v>
      </c>
      <c r="I49" t="s">
        <v>315</v>
      </c>
      <c r="J49" t="s">
        <v>273</v>
      </c>
      <c r="K49" s="1">
        <v>45572</v>
      </c>
      <c r="L49" t="s">
        <v>83</v>
      </c>
      <c r="M49">
        <f t="shared" si="0"/>
        <v>2</v>
      </c>
      <c r="N49" s="16">
        <f t="shared" si="2"/>
        <v>2.406779661016949</v>
      </c>
      <c r="O49" t="str">
        <f t="shared" si="3"/>
        <v>On Time</v>
      </c>
      <c r="P49" t="s">
        <v>367</v>
      </c>
    </row>
    <row r="50" spans="1:16" x14ac:dyDescent="0.35">
      <c r="A50" s="1">
        <v>45570</v>
      </c>
      <c r="B50" s="1" t="str">
        <f t="shared" si="1"/>
        <v>October-2024</v>
      </c>
      <c r="C50" t="s">
        <v>247</v>
      </c>
      <c r="D50" t="s">
        <v>108</v>
      </c>
      <c r="E50" t="s">
        <v>85</v>
      </c>
      <c r="F50" s="4">
        <v>90</v>
      </c>
      <c r="G50" t="s">
        <v>81</v>
      </c>
      <c r="H50" t="s">
        <v>88</v>
      </c>
      <c r="I50" t="s">
        <v>315</v>
      </c>
      <c r="J50" t="s">
        <v>83</v>
      </c>
      <c r="K50" s="1">
        <v>45572</v>
      </c>
      <c r="L50" t="s">
        <v>83</v>
      </c>
      <c r="M50">
        <f t="shared" si="0"/>
        <v>2</v>
      </c>
      <c r="N50" s="16">
        <f t="shared" si="2"/>
        <v>2.406779661016949</v>
      </c>
      <c r="O50" t="str">
        <f t="shared" si="3"/>
        <v>On Time</v>
      </c>
      <c r="P50" t="s">
        <v>367</v>
      </c>
    </row>
    <row r="51" spans="1:16" x14ac:dyDescent="0.35">
      <c r="A51" s="1">
        <v>45570</v>
      </c>
      <c r="B51" s="1" t="str">
        <f t="shared" si="1"/>
        <v>October-2024</v>
      </c>
      <c r="C51" t="s">
        <v>248</v>
      </c>
      <c r="D51" t="s">
        <v>108</v>
      </c>
      <c r="E51" t="s">
        <v>85</v>
      </c>
      <c r="F51" s="4">
        <v>110</v>
      </c>
      <c r="G51" t="s">
        <v>81</v>
      </c>
      <c r="H51" t="s">
        <v>89</v>
      </c>
      <c r="I51" t="s">
        <v>315</v>
      </c>
      <c r="J51" t="s">
        <v>83</v>
      </c>
      <c r="K51" s="1">
        <v>45572</v>
      </c>
      <c r="L51" t="s">
        <v>83</v>
      </c>
      <c r="M51">
        <f t="shared" si="0"/>
        <v>2</v>
      </c>
      <c r="N51" s="16">
        <f t="shared" si="2"/>
        <v>1.7</v>
      </c>
      <c r="O51" t="str">
        <f t="shared" si="3"/>
        <v>Delayed</v>
      </c>
      <c r="P51" t="s">
        <v>367</v>
      </c>
    </row>
    <row r="52" spans="1:16" x14ac:dyDescent="0.35">
      <c r="A52" s="1">
        <v>45570</v>
      </c>
      <c r="B52" s="1" t="str">
        <f t="shared" si="1"/>
        <v>October-2024</v>
      </c>
      <c r="C52" t="s">
        <v>249</v>
      </c>
      <c r="D52" t="s">
        <v>108</v>
      </c>
      <c r="E52" t="s">
        <v>85</v>
      </c>
      <c r="F52" s="4">
        <v>150</v>
      </c>
      <c r="G52" t="s">
        <v>81</v>
      </c>
      <c r="H52" t="s">
        <v>88</v>
      </c>
      <c r="I52" t="s">
        <v>315</v>
      </c>
      <c r="J52" t="s">
        <v>83</v>
      </c>
      <c r="K52" s="1">
        <v>45572</v>
      </c>
      <c r="L52" t="s">
        <v>83</v>
      </c>
      <c r="M52">
        <f t="shared" si="0"/>
        <v>2</v>
      </c>
      <c r="N52" s="16">
        <f t="shared" si="2"/>
        <v>2.406779661016949</v>
      </c>
      <c r="O52" t="str">
        <f t="shared" si="3"/>
        <v>On Time</v>
      </c>
      <c r="P52" t="s">
        <v>367</v>
      </c>
    </row>
    <row r="53" spans="1:16" x14ac:dyDescent="0.35">
      <c r="A53" s="1">
        <v>45570</v>
      </c>
      <c r="B53" s="1" t="str">
        <f t="shared" si="1"/>
        <v>October-2024</v>
      </c>
      <c r="C53" t="s">
        <v>250</v>
      </c>
      <c r="D53" t="s">
        <v>108</v>
      </c>
      <c r="E53" t="s">
        <v>85</v>
      </c>
      <c r="F53" s="4">
        <v>210</v>
      </c>
      <c r="G53" t="s">
        <v>81</v>
      </c>
      <c r="H53" t="s">
        <v>278</v>
      </c>
      <c r="I53" t="s">
        <v>315</v>
      </c>
      <c r="J53" t="s">
        <v>274</v>
      </c>
      <c r="K53" s="1">
        <v>45581</v>
      </c>
      <c r="L53" t="s">
        <v>83</v>
      </c>
      <c r="M53">
        <f t="shared" si="0"/>
        <v>11</v>
      </c>
      <c r="N53" s="16">
        <f t="shared" si="2"/>
        <v>11</v>
      </c>
      <c r="O53" t="str">
        <f t="shared" si="3"/>
        <v>On Time</v>
      </c>
      <c r="P53" t="s">
        <v>367</v>
      </c>
    </row>
    <row r="54" spans="1:16" x14ac:dyDescent="0.35">
      <c r="A54" s="1">
        <v>45570</v>
      </c>
      <c r="B54" s="1" t="str">
        <f t="shared" si="1"/>
        <v>October-2024</v>
      </c>
      <c r="C54" t="s">
        <v>251</v>
      </c>
      <c r="D54" t="s">
        <v>108</v>
      </c>
      <c r="E54" t="s">
        <v>85</v>
      </c>
      <c r="F54" s="4">
        <v>170</v>
      </c>
      <c r="G54" t="s">
        <v>81</v>
      </c>
      <c r="H54" t="s">
        <v>87</v>
      </c>
      <c r="I54" t="s">
        <v>315</v>
      </c>
      <c r="J54" t="s">
        <v>83</v>
      </c>
      <c r="K54" s="1">
        <v>45575</v>
      </c>
      <c r="L54" t="s">
        <v>83</v>
      </c>
      <c r="M54">
        <f t="shared" si="0"/>
        <v>5</v>
      </c>
      <c r="N54" s="16">
        <f t="shared" si="2"/>
        <v>3.5185185185185186</v>
      </c>
      <c r="O54" t="str">
        <f t="shared" si="3"/>
        <v>Delayed</v>
      </c>
      <c r="P54" t="s">
        <v>367</v>
      </c>
    </row>
    <row r="55" spans="1:16" x14ac:dyDescent="0.35">
      <c r="A55" s="1">
        <v>45570</v>
      </c>
      <c r="B55" s="1" t="str">
        <f t="shared" si="1"/>
        <v>October-2024</v>
      </c>
      <c r="C55" t="s">
        <v>252</v>
      </c>
      <c r="D55" t="s">
        <v>108</v>
      </c>
      <c r="E55" t="s">
        <v>85</v>
      </c>
      <c r="F55" s="4">
        <v>170</v>
      </c>
      <c r="G55" t="s">
        <v>81</v>
      </c>
      <c r="H55" t="s">
        <v>87</v>
      </c>
      <c r="I55" t="s">
        <v>315</v>
      </c>
      <c r="J55" t="s">
        <v>83</v>
      </c>
      <c r="K55" s="1">
        <v>45575</v>
      </c>
      <c r="L55" t="s">
        <v>83</v>
      </c>
      <c r="M55">
        <f t="shared" si="0"/>
        <v>5</v>
      </c>
      <c r="N55" s="16">
        <f t="shared" si="2"/>
        <v>3.5185185185185186</v>
      </c>
      <c r="O55" t="str">
        <f t="shared" si="3"/>
        <v>Delayed</v>
      </c>
      <c r="P55" t="s">
        <v>367</v>
      </c>
    </row>
    <row r="56" spans="1:16" x14ac:dyDescent="0.35">
      <c r="A56" s="1">
        <v>45570</v>
      </c>
      <c r="B56" s="1" t="str">
        <f t="shared" si="1"/>
        <v>October-2024</v>
      </c>
      <c r="C56" t="s">
        <v>253</v>
      </c>
      <c r="D56" t="s">
        <v>108</v>
      </c>
      <c r="E56" t="s">
        <v>85</v>
      </c>
      <c r="F56" s="4">
        <v>170</v>
      </c>
      <c r="G56" t="s">
        <v>81</v>
      </c>
      <c r="H56" t="s">
        <v>87</v>
      </c>
      <c r="I56" t="s">
        <v>315</v>
      </c>
      <c r="J56" t="s">
        <v>83</v>
      </c>
      <c r="K56" s="1">
        <v>45575</v>
      </c>
      <c r="L56" t="s">
        <v>83</v>
      </c>
      <c r="M56">
        <f t="shared" si="0"/>
        <v>5</v>
      </c>
      <c r="N56" s="16">
        <f t="shared" si="2"/>
        <v>3.5185185185185186</v>
      </c>
      <c r="O56" t="str">
        <f t="shared" si="3"/>
        <v>Delayed</v>
      </c>
      <c r="P56" t="s">
        <v>367</v>
      </c>
    </row>
    <row r="57" spans="1:16" x14ac:dyDescent="0.35">
      <c r="A57" s="1">
        <v>45570</v>
      </c>
      <c r="B57" s="1" t="str">
        <f t="shared" si="1"/>
        <v>October-2024</v>
      </c>
      <c r="C57" t="s">
        <v>254</v>
      </c>
      <c r="D57" t="s">
        <v>108</v>
      </c>
      <c r="E57" t="s">
        <v>85</v>
      </c>
      <c r="F57" s="4">
        <v>140</v>
      </c>
      <c r="G57" t="s">
        <v>81</v>
      </c>
      <c r="H57" t="s">
        <v>87</v>
      </c>
      <c r="I57" t="s">
        <v>315</v>
      </c>
      <c r="J57" t="s">
        <v>83</v>
      </c>
      <c r="K57" s="1">
        <v>45575</v>
      </c>
      <c r="L57" t="s">
        <v>83</v>
      </c>
      <c r="M57">
        <f t="shared" si="0"/>
        <v>5</v>
      </c>
      <c r="N57" s="16">
        <f t="shared" si="2"/>
        <v>3.5185185185185186</v>
      </c>
      <c r="O57" t="str">
        <f t="shared" si="3"/>
        <v>Delayed</v>
      </c>
      <c r="P57" t="s">
        <v>367</v>
      </c>
    </row>
    <row r="58" spans="1:16" x14ac:dyDescent="0.35">
      <c r="A58" s="1">
        <v>45570</v>
      </c>
      <c r="B58" s="1" t="str">
        <f t="shared" si="1"/>
        <v>October-2024</v>
      </c>
      <c r="C58" t="s">
        <v>255</v>
      </c>
      <c r="D58" t="s">
        <v>108</v>
      </c>
      <c r="E58" t="s">
        <v>85</v>
      </c>
      <c r="F58" s="4">
        <v>140</v>
      </c>
      <c r="G58" t="s">
        <v>81</v>
      </c>
      <c r="H58" t="s">
        <v>87</v>
      </c>
      <c r="I58" t="s">
        <v>315</v>
      </c>
      <c r="J58" t="s">
        <v>83</v>
      </c>
      <c r="K58" s="1">
        <v>45575</v>
      </c>
      <c r="L58" t="s">
        <v>83</v>
      </c>
      <c r="M58">
        <f t="shared" si="0"/>
        <v>5</v>
      </c>
      <c r="N58" s="16">
        <f t="shared" si="2"/>
        <v>3.5185185185185186</v>
      </c>
      <c r="O58" t="str">
        <f t="shared" si="3"/>
        <v>Delayed</v>
      </c>
      <c r="P58" t="s">
        <v>367</v>
      </c>
    </row>
    <row r="59" spans="1:16" x14ac:dyDescent="0.35">
      <c r="A59" s="1">
        <v>45570</v>
      </c>
      <c r="B59" s="1" t="str">
        <f t="shared" si="1"/>
        <v>October-2024</v>
      </c>
      <c r="C59" t="s">
        <v>256</v>
      </c>
      <c r="D59" t="s">
        <v>108</v>
      </c>
      <c r="E59" t="s">
        <v>85</v>
      </c>
      <c r="F59" s="4">
        <v>140</v>
      </c>
      <c r="G59" t="s">
        <v>81</v>
      </c>
      <c r="H59" t="s">
        <v>87</v>
      </c>
      <c r="I59" t="s">
        <v>315</v>
      </c>
      <c r="J59" t="s">
        <v>83</v>
      </c>
      <c r="K59" s="1">
        <v>45575</v>
      </c>
      <c r="L59" t="s">
        <v>83</v>
      </c>
      <c r="M59">
        <f t="shared" si="0"/>
        <v>5</v>
      </c>
      <c r="N59" s="16">
        <f t="shared" si="2"/>
        <v>3.5185185185185186</v>
      </c>
      <c r="O59" t="str">
        <f t="shared" si="3"/>
        <v>Delayed</v>
      </c>
      <c r="P59" t="s">
        <v>367</v>
      </c>
    </row>
    <row r="60" spans="1:16" x14ac:dyDescent="0.35">
      <c r="A60" s="1">
        <v>45570</v>
      </c>
      <c r="B60" s="1" t="str">
        <f t="shared" si="1"/>
        <v>October-2024</v>
      </c>
      <c r="C60" t="s">
        <v>257</v>
      </c>
      <c r="D60" t="s">
        <v>108</v>
      </c>
      <c r="E60" t="s">
        <v>85</v>
      </c>
      <c r="F60" s="4">
        <v>140</v>
      </c>
      <c r="G60" t="s">
        <v>81</v>
      </c>
      <c r="H60" t="s">
        <v>87</v>
      </c>
      <c r="I60" t="s">
        <v>315</v>
      </c>
      <c r="J60" t="s">
        <v>83</v>
      </c>
      <c r="K60" s="1">
        <v>45575</v>
      </c>
      <c r="L60" t="s">
        <v>83</v>
      </c>
      <c r="M60">
        <f t="shared" si="0"/>
        <v>5</v>
      </c>
      <c r="N60" s="16">
        <f t="shared" si="2"/>
        <v>3.5185185185185186</v>
      </c>
      <c r="O60" t="str">
        <f t="shared" si="3"/>
        <v>Delayed</v>
      </c>
      <c r="P60" t="s">
        <v>367</v>
      </c>
    </row>
    <row r="61" spans="1:16" x14ac:dyDescent="0.35">
      <c r="A61" s="1">
        <v>45570</v>
      </c>
      <c r="B61" s="1" t="str">
        <f t="shared" si="1"/>
        <v>October-2024</v>
      </c>
      <c r="C61" t="s">
        <v>258</v>
      </c>
      <c r="D61" t="s">
        <v>108</v>
      </c>
      <c r="E61" t="s">
        <v>85</v>
      </c>
      <c r="F61" s="4">
        <v>120</v>
      </c>
      <c r="G61" t="s">
        <v>81</v>
      </c>
      <c r="H61" t="s">
        <v>90</v>
      </c>
      <c r="I61" t="s">
        <v>315</v>
      </c>
      <c r="J61" t="s">
        <v>83</v>
      </c>
      <c r="K61" s="1">
        <v>45572</v>
      </c>
      <c r="L61" t="s">
        <v>83</v>
      </c>
      <c r="M61">
        <f t="shared" si="0"/>
        <v>2</v>
      </c>
      <c r="N61" s="16">
        <f t="shared" si="2"/>
        <v>2.0555555555555554</v>
      </c>
      <c r="O61" t="str">
        <f t="shared" si="3"/>
        <v>On Time</v>
      </c>
      <c r="P61" t="s">
        <v>367</v>
      </c>
    </row>
    <row r="62" spans="1:16" x14ac:dyDescent="0.35">
      <c r="A62" s="1">
        <v>45570</v>
      </c>
      <c r="B62" s="1" t="str">
        <f t="shared" si="1"/>
        <v>October-2024</v>
      </c>
      <c r="C62" t="s">
        <v>259</v>
      </c>
      <c r="D62" t="s">
        <v>108</v>
      </c>
      <c r="E62" t="s">
        <v>85</v>
      </c>
      <c r="F62" s="4">
        <v>120</v>
      </c>
      <c r="G62" t="s">
        <v>81</v>
      </c>
      <c r="H62" t="s">
        <v>90</v>
      </c>
      <c r="I62" t="s">
        <v>315</v>
      </c>
      <c r="J62" t="s">
        <v>83</v>
      </c>
      <c r="K62" s="1">
        <v>45572</v>
      </c>
      <c r="L62" t="s">
        <v>83</v>
      </c>
      <c r="M62">
        <f t="shared" si="0"/>
        <v>2</v>
      </c>
      <c r="N62" s="16">
        <f t="shared" si="2"/>
        <v>2.0555555555555554</v>
      </c>
      <c r="O62" t="str">
        <f t="shared" si="3"/>
        <v>On Time</v>
      </c>
      <c r="P62" t="s">
        <v>367</v>
      </c>
    </row>
    <row r="63" spans="1:16" x14ac:dyDescent="0.35">
      <c r="A63" s="1">
        <v>45570</v>
      </c>
      <c r="B63" s="1" t="str">
        <f t="shared" si="1"/>
        <v>October-2024</v>
      </c>
      <c r="C63" t="s">
        <v>260</v>
      </c>
      <c r="D63" t="s">
        <v>108</v>
      </c>
      <c r="E63" t="s">
        <v>85</v>
      </c>
      <c r="F63" s="4">
        <v>140</v>
      </c>
      <c r="G63" t="s">
        <v>81</v>
      </c>
      <c r="H63" t="s">
        <v>91</v>
      </c>
      <c r="I63" t="s">
        <v>315</v>
      </c>
      <c r="J63" t="s">
        <v>83</v>
      </c>
      <c r="K63" s="1">
        <v>45575</v>
      </c>
      <c r="L63" t="s">
        <v>83</v>
      </c>
      <c r="M63">
        <f t="shared" si="0"/>
        <v>5</v>
      </c>
      <c r="N63" s="16">
        <f t="shared" si="2"/>
        <v>3.4</v>
      </c>
      <c r="O63" t="str">
        <f t="shared" si="3"/>
        <v>Delayed</v>
      </c>
      <c r="P63" t="s">
        <v>367</v>
      </c>
    </row>
    <row r="64" spans="1:16" x14ac:dyDescent="0.35">
      <c r="A64" s="1">
        <v>45570</v>
      </c>
      <c r="B64" s="1" t="str">
        <f t="shared" si="1"/>
        <v>October-2024</v>
      </c>
      <c r="C64" t="s">
        <v>261</v>
      </c>
      <c r="D64" t="s">
        <v>108</v>
      </c>
      <c r="E64" t="s">
        <v>85</v>
      </c>
      <c r="F64" s="4">
        <v>70</v>
      </c>
      <c r="G64" t="s">
        <v>81</v>
      </c>
      <c r="H64" t="s">
        <v>88</v>
      </c>
      <c r="I64" t="s">
        <v>315</v>
      </c>
      <c r="J64" t="s">
        <v>83</v>
      </c>
      <c r="K64" s="1">
        <v>45575</v>
      </c>
      <c r="L64" t="s">
        <v>83</v>
      </c>
      <c r="M64">
        <f t="shared" si="0"/>
        <v>5</v>
      </c>
      <c r="N64" s="16">
        <f t="shared" si="2"/>
        <v>2.406779661016949</v>
      </c>
      <c r="O64" t="str">
        <f t="shared" si="3"/>
        <v>Delayed</v>
      </c>
      <c r="P64" t="s">
        <v>367</v>
      </c>
    </row>
    <row r="65" spans="1:16" x14ac:dyDescent="0.35">
      <c r="A65" s="1">
        <v>45570</v>
      </c>
      <c r="B65" s="1" t="str">
        <f t="shared" si="1"/>
        <v>October-2024</v>
      </c>
      <c r="C65" t="s">
        <v>262</v>
      </c>
      <c r="D65" t="s">
        <v>108</v>
      </c>
      <c r="E65" t="s">
        <v>85</v>
      </c>
      <c r="F65" s="4">
        <v>70</v>
      </c>
      <c r="G65" t="s">
        <v>81</v>
      </c>
      <c r="H65" t="s">
        <v>88</v>
      </c>
      <c r="I65" t="s">
        <v>315</v>
      </c>
      <c r="J65" t="s">
        <v>83</v>
      </c>
      <c r="K65" s="1">
        <v>45575</v>
      </c>
      <c r="L65" t="s">
        <v>83</v>
      </c>
      <c r="M65">
        <f t="shared" si="0"/>
        <v>5</v>
      </c>
      <c r="N65" s="16">
        <f t="shared" si="2"/>
        <v>2.406779661016949</v>
      </c>
      <c r="O65" t="str">
        <f t="shared" si="3"/>
        <v>Delayed</v>
      </c>
      <c r="P65" t="s">
        <v>367</v>
      </c>
    </row>
    <row r="66" spans="1:16" x14ac:dyDescent="0.35">
      <c r="A66" s="1">
        <v>45570</v>
      </c>
      <c r="B66" s="1" t="str">
        <f t="shared" si="1"/>
        <v>October-2024</v>
      </c>
      <c r="C66" t="s">
        <v>263</v>
      </c>
      <c r="D66" t="s">
        <v>108</v>
      </c>
      <c r="E66" t="s">
        <v>85</v>
      </c>
      <c r="F66" s="4">
        <v>70</v>
      </c>
      <c r="G66" t="s">
        <v>81</v>
      </c>
      <c r="H66" t="s">
        <v>88</v>
      </c>
      <c r="I66" t="s">
        <v>315</v>
      </c>
      <c r="J66" t="s">
        <v>83</v>
      </c>
      <c r="K66" s="1">
        <v>45575</v>
      </c>
      <c r="L66" t="s">
        <v>83</v>
      </c>
      <c r="M66">
        <f t="shared" ref="M66:M129" si="4">IF(E66="Delivered",K66-A66,"")</f>
        <v>5</v>
      </c>
      <c r="N66" s="16">
        <f t="shared" si="2"/>
        <v>2.406779661016949</v>
      </c>
      <c r="O66" t="str">
        <f t="shared" si="3"/>
        <v>Delayed</v>
      </c>
      <c r="P66" t="s">
        <v>367</v>
      </c>
    </row>
    <row r="67" spans="1:16" x14ac:dyDescent="0.35">
      <c r="A67" s="1">
        <v>45570</v>
      </c>
      <c r="B67" s="1" t="str">
        <f t="shared" ref="B67:B130" si="5">TEXT(A67,"mmmm-yyyy")</f>
        <v>October-2024</v>
      </c>
      <c r="C67" t="s">
        <v>264</v>
      </c>
      <c r="D67" t="s">
        <v>108</v>
      </c>
      <c r="E67" t="s">
        <v>85</v>
      </c>
      <c r="F67" s="4">
        <v>70</v>
      </c>
      <c r="G67" t="s">
        <v>81</v>
      </c>
      <c r="H67" t="s">
        <v>88</v>
      </c>
      <c r="I67" t="s">
        <v>315</v>
      </c>
      <c r="J67" t="s">
        <v>83</v>
      </c>
      <c r="K67" s="1">
        <v>45575</v>
      </c>
      <c r="L67" t="s">
        <v>83</v>
      </c>
      <c r="M67">
        <f t="shared" si="4"/>
        <v>5</v>
      </c>
      <c r="N67" s="16">
        <f t="shared" ref="N67:N130" si="6">AVERAGEIF(H:H,H67,M:M)</f>
        <v>2.406779661016949</v>
      </c>
      <c r="O67" t="str">
        <f t="shared" ref="O67:O130" si="7">IF(M67&gt;N67,"Delayed","On Time")</f>
        <v>Delayed</v>
      </c>
      <c r="P67" t="s">
        <v>367</v>
      </c>
    </row>
    <row r="68" spans="1:16" x14ac:dyDescent="0.35">
      <c r="A68" s="1">
        <v>45570</v>
      </c>
      <c r="B68" s="1" t="str">
        <f t="shared" si="5"/>
        <v>October-2024</v>
      </c>
      <c r="C68" t="s">
        <v>265</v>
      </c>
      <c r="D68" t="s">
        <v>108</v>
      </c>
      <c r="E68" t="s">
        <v>85</v>
      </c>
      <c r="F68" s="4">
        <v>90</v>
      </c>
      <c r="G68" t="s">
        <v>81</v>
      </c>
      <c r="H68" t="s">
        <v>88</v>
      </c>
      <c r="I68" t="s">
        <v>315</v>
      </c>
      <c r="J68" t="s">
        <v>83</v>
      </c>
      <c r="K68" s="1">
        <v>45575</v>
      </c>
      <c r="L68" t="s">
        <v>83</v>
      </c>
      <c r="M68">
        <f t="shared" si="4"/>
        <v>5</v>
      </c>
      <c r="N68" s="16">
        <f t="shared" si="6"/>
        <v>2.406779661016949</v>
      </c>
      <c r="O68" t="str">
        <f t="shared" si="7"/>
        <v>Delayed</v>
      </c>
      <c r="P68" t="s">
        <v>367</v>
      </c>
    </row>
    <row r="69" spans="1:16" x14ac:dyDescent="0.35">
      <c r="A69" s="1">
        <v>45570</v>
      </c>
      <c r="B69" s="1" t="str">
        <f t="shared" si="5"/>
        <v>October-2024</v>
      </c>
      <c r="C69" t="s">
        <v>266</v>
      </c>
      <c r="D69" t="s">
        <v>108</v>
      </c>
      <c r="E69" t="s">
        <v>85</v>
      </c>
      <c r="F69" s="4">
        <v>90</v>
      </c>
      <c r="G69" t="s">
        <v>81</v>
      </c>
      <c r="H69" t="s">
        <v>88</v>
      </c>
      <c r="I69" t="s">
        <v>315</v>
      </c>
      <c r="J69" t="s">
        <v>83</v>
      </c>
      <c r="K69" s="1">
        <v>45575</v>
      </c>
      <c r="L69" t="s">
        <v>83</v>
      </c>
      <c r="M69">
        <f t="shared" si="4"/>
        <v>5</v>
      </c>
      <c r="N69" s="16">
        <f t="shared" si="6"/>
        <v>2.406779661016949</v>
      </c>
      <c r="O69" t="str">
        <f t="shared" si="7"/>
        <v>Delayed</v>
      </c>
      <c r="P69" t="s">
        <v>367</v>
      </c>
    </row>
    <row r="70" spans="1:16" x14ac:dyDescent="0.35">
      <c r="A70" s="1">
        <v>45570</v>
      </c>
      <c r="B70" s="1" t="str">
        <f t="shared" si="5"/>
        <v>October-2024</v>
      </c>
      <c r="C70" t="s">
        <v>267</v>
      </c>
      <c r="D70" t="s">
        <v>108</v>
      </c>
      <c r="E70" t="s">
        <v>85</v>
      </c>
      <c r="F70" s="4">
        <v>90</v>
      </c>
      <c r="G70" t="s">
        <v>81</v>
      </c>
      <c r="H70" t="s">
        <v>88</v>
      </c>
      <c r="I70" t="s">
        <v>315</v>
      </c>
      <c r="J70" t="s">
        <v>83</v>
      </c>
      <c r="K70" s="1">
        <v>45575</v>
      </c>
      <c r="L70" t="s">
        <v>83</v>
      </c>
      <c r="M70">
        <f t="shared" si="4"/>
        <v>5</v>
      </c>
      <c r="N70" s="16">
        <f t="shared" si="6"/>
        <v>2.406779661016949</v>
      </c>
      <c r="O70" t="str">
        <f t="shared" si="7"/>
        <v>Delayed</v>
      </c>
      <c r="P70" t="s">
        <v>367</v>
      </c>
    </row>
    <row r="71" spans="1:16" x14ac:dyDescent="0.35">
      <c r="A71" s="1">
        <v>45570</v>
      </c>
      <c r="B71" s="1" t="str">
        <f t="shared" si="5"/>
        <v>October-2024</v>
      </c>
      <c r="C71" t="s">
        <v>268</v>
      </c>
      <c r="D71" t="s">
        <v>108</v>
      </c>
      <c r="E71" t="s">
        <v>85</v>
      </c>
      <c r="F71" s="4">
        <v>140</v>
      </c>
      <c r="G71" t="s">
        <v>81</v>
      </c>
      <c r="H71" t="s">
        <v>88</v>
      </c>
      <c r="I71" t="s">
        <v>315</v>
      </c>
      <c r="J71" t="s">
        <v>83</v>
      </c>
      <c r="K71" s="1">
        <v>45575</v>
      </c>
      <c r="L71" t="s">
        <v>83</v>
      </c>
      <c r="M71">
        <f t="shared" si="4"/>
        <v>5</v>
      </c>
      <c r="N71" s="16">
        <f t="shared" si="6"/>
        <v>2.406779661016949</v>
      </c>
      <c r="O71" t="str">
        <f t="shared" si="7"/>
        <v>Delayed</v>
      </c>
      <c r="P71" t="s">
        <v>367</v>
      </c>
    </row>
    <row r="72" spans="1:16" x14ac:dyDescent="0.35">
      <c r="A72" s="1">
        <v>45570</v>
      </c>
      <c r="B72" s="1" t="str">
        <f t="shared" si="5"/>
        <v>October-2024</v>
      </c>
      <c r="C72" t="s">
        <v>269</v>
      </c>
      <c r="D72" t="s">
        <v>108</v>
      </c>
      <c r="E72" t="s">
        <v>85</v>
      </c>
      <c r="F72" s="4">
        <v>70</v>
      </c>
      <c r="G72" t="s">
        <v>81</v>
      </c>
      <c r="H72" t="s">
        <v>88</v>
      </c>
      <c r="I72" t="s">
        <v>315</v>
      </c>
      <c r="J72" t="s">
        <v>83</v>
      </c>
      <c r="K72" s="1">
        <v>45575</v>
      </c>
      <c r="L72" t="s">
        <v>83</v>
      </c>
      <c r="M72">
        <f t="shared" si="4"/>
        <v>5</v>
      </c>
      <c r="N72" s="16">
        <f t="shared" si="6"/>
        <v>2.406779661016949</v>
      </c>
      <c r="O72" t="str">
        <f t="shared" si="7"/>
        <v>Delayed</v>
      </c>
      <c r="P72" t="s">
        <v>367</v>
      </c>
    </row>
    <row r="73" spans="1:16" x14ac:dyDescent="0.35">
      <c r="A73" s="1">
        <v>45570</v>
      </c>
      <c r="B73" s="1" t="str">
        <f t="shared" si="5"/>
        <v>October-2024</v>
      </c>
      <c r="C73" t="s">
        <v>179</v>
      </c>
      <c r="D73" t="s">
        <v>108</v>
      </c>
      <c r="E73" t="s">
        <v>85</v>
      </c>
      <c r="F73" s="4">
        <v>70</v>
      </c>
      <c r="G73" t="s">
        <v>81</v>
      </c>
      <c r="H73" t="s">
        <v>88</v>
      </c>
      <c r="I73" t="s">
        <v>315</v>
      </c>
      <c r="J73" t="s">
        <v>83</v>
      </c>
      <c r="K73" s="1">
        <v>45574</v>
      </c>
      <c r="L73" t="s">
        <v>83</v>
      </c>
      <c r="M73">
        <f t="shared" si="4"/>
        <v>4</v>
      </c>
      <c r="N73" s="16">
        <f t="shared" si="6"/>
        <v>2.406779661016949</v>
      </c>
      <c r="O73" t="str">
        <f t="shared" si="7"/>
        <v>Delayed</v>
      </c>
      <c r="P73" t="s">
        <v>367</v>
      </c>
    </row>
    <row r="74" spans="1:16" x14ac:dyDescent="0.35">
      <c r="A74" s="1">
        <v>45570</v>
      </c>
      <c r="B74" s="1" t="str">
        <f t="shared" si="5"/>
        <v>October-2024</v>
      </c>
      <c r="C74" t="s">
        <v>180</v>
      </c>
      <c r="D74" t="s">
        <v>108</v>
      </c>
      <c r="E74" t="s">
        <v>85</v>
      </c>
      <c r="F74" s="4">
        <v>90</v>
      </c>
      <c r="G74" t="s">
        <v>81</v>
      </c>
      <c r="H74" t="s">
        <v>88</v>
      </c>
      <c r="I74" t="s">
        <v>315</v>
      </c>
      <c r="J74" t="s">
        <v>83</v>
      </c>
      <c r="K74" s="1">
        <v>45574</v>
      </c>
      <c r="L74" t="s">
        <v>83</v>
      </c>
      <c r="M74">
        <f t="shared" si="4"/>
        <v>4</v>
      </c>
      <c r="N74" s="16">
        <f t="shared" si="6"/>
        <v>2.406779661016949</v>
      </c>
      <c r="O74" t="str">
        <f t="shared" si="7"/>
        <v>Delayed</v>
      </c>
      <c r="P74" t="s">
        <v>367</v>
      </c>
    </row>
    <row r="75" spans="1:16" x14ac:dyDescent="0.35">
      <c r="A75" s="1">
        <v>45570</v>
      </c>
      <c r="B75" s="1" t="str">
        <f t="shared" si="5"/>
        <v>October-2024</v>
      </c>
      <c r="C75" t="s">
        <v>181</v>
      </c>
      <c r="D75" t="s">
        <v>108</v>
      </c>
      <c r="E75" t="s">
        <v>85</v>
      </c>
      <c r="F75" s="4">
        <v>120</v>
      </c>
      <c r="G75" t="s">
        <v>81</v>
      </c>
      <c r="H75" t="s">
        <v>88</v>
      </c>
      <c r="I75" t="s">
        <v>315</v>
      </c>
      <c r="J75" t="s">
        <v>83</v>
      </c>
      <c r="K75" s="1">
        <v>45574</v>
      </c>
      <c r="L75" t="s">
        <v>83</v>
      </c>
      <c r="M75">
        <f t="shared" si="4"/>
        <v>4</v>
      </c>
      <c r="N75" s="16">
        <f t="shared" si="6"/>
        <v>2.406779661016949</v>
      </c>
      <c r="O75" t="str">
        <f t="shared" si="7"/>
        <v>Delayed</v>
      </c>
      <c r="P75" t="s">
        <v>367</v>
      </c>
    </row>
    <row r="76" spans="1:16" x14ac:dyDescent="0.35">
      <c r="A76" s="1">
        <v>45570</v>
      </c>
      <c r="B76" s="1" t="str">
        <f t="shared" si="5"/>
        <v>October-2024</v>
      </c>
      <c r="C76" t="s">
        <v>168</v>
      </c>
      <c r="D76" t="s">
        <v>142</v>
      </c>
      <c r="E76" t="s">
        <v>85</v>
      </c>
      <c r="F76" s="4">
        <v>970</v>
      </c>
      <c r="G76" t="s">
        <v>81</v>
      </c>
      <c r="H76" t="s">
        <v>172</v>
      </c>
      <c r="I76" t="s">
        <v>315</v>
      </c>
      <c r="J76" t="s">
        <v>170</v>
      </c>
      <c r="K76" s="1">
        <v>45574</v>
      </c>
      <c r="L76" t="s">
        <v>83</v>
      </c>
      <c r="M76">
        <f t="shared" si="4"/>
        <v>4</v>
      </c>
      <c r="N76" s="16">
        <f t="shared" si="6"/>
        <v>4</v>
      </c>
      <c r="O76" t="str">
        <f t="shared" si="7"/>
        <v>On Time</v>
      </c>
      <c r="P76" t="s">
        <v>367</v>
      </c>
    </row>
    <row r="77" spans="1:16" x14ac:dyDescent="0.35">
      <c r="A77" s="1">
        <v>45571</v>
      </c>
      <c r="B77" s="1" t="str">
        <f t="shared" si="5"/>
        <v>October-2024</v>
      </c>
      <c r="C77" t="s">
        <v>182</v>
      </c>
      <c r="D77" t="s">
        <v>108</v>
      </c>
      <c r="E77" t="s">
        <v>85</v>
      </c>
      <c r="F77" s="4">
        <v>170</v>
      </c>
      <c r="G77" t="s">
        <v>81</v>
      </c>
      <c r="H77" t="s">
        <v>91</v>
      </c>
      <c r="I77" t="s">
        <v>315</v>
      </c>
      <c r="J77" t="s">
        <v>83</v>
      </c>
      <c r="K77" s="1">
        <v>45575</v>
      </c>
      <c r="L77" t="s">
        <v>83</v>
      </c>
      <c r="M77">
        <f t="shared" si="4"/>
        <v>4</v>
      </c>
      <c r="N77" s="16">
        <f t="shared" si="6"/>
        <v>3.4</v>
      </c>
      <c r="O77" t="str">
        <f t="shared" si="7"/>
        <v>Delayed</v>
      </c>
      <c r="P77" t="s">
        <v>361</v>
      </c>
    </row>
    <row r="78" spans="1:16" x14ac:dyDescent="0.35">
      <c r="A78" s="1">
        <v>45571</v>
      </c>
      <c r="B78" s="1" t="str">
        <f t="shared" si="5"/>
        <v>October-2024</v>
      </c>
      <c r="C78" t="s">
        <v>183</v>
      </c>
      <c r="D78" t="s">
        <v>108</v>
      </c>
      <c r="E78" t="s">
        <v>85</v>
      </c>
      <c r="F78" s="4">
        <v>90</v>
      </c>
      <c r="G78" t="s">
        <v>81</v>
      </c>
      <c r="H78" t="s">
        <v>89</v>
      </c>
      <c r="I78" t="s">
        <v>315</v>
      </c>
      <c r="J78" t="s">
        <v>83</v>
      </c>
      <c r="K78" s="1">
        <v>45573</v>
      </c>
      <c r="L78" t="s">
        <v>83</v>
      </c>
      <c r="M78">
        <f t="shared" si="4"/>
        <v>2</v>
      </c>
      <c r="N78" s="16">
        <f t="shared" si="6"/>
        <v>1.7</v>
      </c>
      <c r="O78" t="str">
        <f t="shared" si="7"/>
        <v>Delayed</v>
      </c>
      <c r="P78" t="s">
        <v>361</v>
      </c>
    </row>
    <row r="79" spans="1:16" x14ac:dyDescent="0.35">
      <c r="A79" s="1">
        <v>45572</v>
      </c>
      <c r="B79" s="1" t="str">
        <f t="shared" si="5"/>
        <v>October-2024</v>
      </c>
      <c r="C79" t="s">
        <v>147</v>
      </c>
      <c r="D79" t="s">
        <v>108</v>
      </c>
      <c r="E79" t="s">
        <v>85</v>
      </c>
      <c r="F79" s="4">
        <v>840</v>
      </c>
      <c r="G79" t="s">
        <v>81</v>
      </c>
      <c r="H79" t="s">
        <v>148</v>
      </c>
      <c r="I79" t="s">
        <v>314</v>
      </c>
      <c r="J79" t="s">
        <v>106</v>
      </c>
      <c r="K79" s="1">
        <v>45575</v>
      </c>
      <c r="L79" t="s">
        <v>83</v>
      </c>
      <c r="M79">
        <f t="shared" si="4"/>
        <v>3</v>
      </c>
      <c r="N79" s="16">
        <f t="shared" si="6"/>
        <v>3</v>
      </c>
      <c r="O79" t="str">
        <f t="shared" si="7"/>
        <v>On Time</v>
      </c>
      <c r="P79" t="s">
        <v>362</v>
      </c>
    </row>
    <row r="80" spans="1:16" x14ac:dyDescent="0.35">
      <c r="A80" s="1">
        <v>45572</v>
      </c>
      <c r="B80" s="1" t="str">
        <f t="shared" si="5"/>
        <v>October-2024</v>
      </c>
      <c r="C80" t="s">
        <v>184</v>
      </c>
      <c r="D80" t="s">
        <v>108</v>
      </c>
      <c r="E80" t="s">
        <v>85</v>
      </c>
      <c r="F80" s="4">
        <v>90</v>
      </c>
      <c r="G80" t="s">
        <v>81</v>
      </c>
      <c r="H80" t="s">
        <v>208</v>
      </c>
      <c r="I80" t="s">
        <v>315</v>
      </c>
      <c r="J80" t="s">
        <v>210</v>
      </c>
      <c r="K80" s="1">
        <v>45573</v>
      </c>
      <c r="L80" t="s">
        <v>83</v>
      </c>
      <c r="M80">
        <f t="shared" si="4"/>
        <v>1</v>
      </c>
      <c r="N80" s="16">
        <f t="shared" si="6"/>
        <v>1</v>
      </c>
      <c r="O80" t="str">
        <f t="shared" si="7"/>
        <v>On Time</v>
      </c>
      <c r="P80" t="s">
        <v>362</v>
      </c>
    </row>
    <row r="81" spans="1:16" x14ac:dyDescent="0.35">
      <c r="A81" s="1">
        <v>45572</v>
      </c>
      <c r="B81" s="1" t="str">
        <f t="shared" si="5"/>
        <v>October-2024</v>
      </c>
      <c r="C81" t="s">
        <v>185</v>
      </c>
      <c r="D81" t="s">
        <v>108</v>
      </c>
      <c r="E81" t="s">
        <v>85</v>
      </c>
      <c r="F81" s="4">
        <v>350</v>
      </c>
      <c r="G81" t="s">
        <v>81</v>
      </c>
      <c r="H81" t="s">
        <v>89</v>
      </c>
      <c r="I81" t="s">
        <v>315</v>
      </c>
      <c r="J81" t="s">
        <v>83</v>
      </c>
      <c r="K81" s="1">
        <v>45574</v>
      </c>
      <c r="L81" t="s">
        <v>83</v>
      </c>
      <c r="M81">
        <f t="shared" si="4"/>
        <v>2</v>
      </c>
      <c r="N81" s="16">
        <f t="shared" si="6"/>
        <v>1.7</v>
      </c>
      <c r="O81" t="str">
        <f t="shared" si="7"/>
        <v>Delayed</v>
      </c>
      <c r="P81" t="s">
        <v>362</v>
      </c>
    </row>
    <row r="82" spans="1:16" x14ac:dyDescent="0.35">
      <c r="A82" s="1">
        <v>45572</v>
      </c>
      <c r="B82" s="1" t="str">
        <f t="shared" si="5"/>
        <v>October-2024</v>
      </c>
      <c r="C82" t="s">
        <v>186</v>
      </c>
      <c r="D82" t="s">
        <v>108</v>
      </c>
      <c r="E82" t="s">
        <v>85</v>
      </c>
      <c r="F82" s="4">
        <v>90</v>
      </c>
      <c r="G82" t="s">
        <v>81</v>
      </c>
      <c r="H82" t="s">
        <v>88</v>
      </c>
      <c r="I82" t="s">
        <v>315</v>
      </c>
      <c r="J82" t="s">
        <v>211</v>
      </c>
      <c r="K82" s="1">
        <v>45574</v>
      </c>
      <c r="L82" t="s">
        <v>83</v>
      </c>
      <c r="M82">
        <f t="shared" si="4"/>
        <v>2</v>
      </c>
      <c r="N82" s="16">
        <f t="shared" si="6"/>
        <v>2.406779661016949</v>
      </c>
      <c r="O82" t="str">
        <f t="shared" si="7"/>
        <v>On Time</v>
      </c>
      <c r="P82" t="s">
        <v>362</v>
      </c>
    </row>
    <row r="83" spans="1:16" x14ac:dyDescent="0.35">
      <c r="A83" s="1">
        <v>45572</v>
      </c>
      <c r="B83" s="1" t="str">
        <f t="shared" si="5"/>
        <v>October-2024</v>
      </c>
      <c r="C83" t="s">
        <v>187</v>
      </c>
      <c r="D83" t="s">
        <v>108</v>
      </c>
      <c r="E83" t="s">
        <v>85</v>
      </c>
      <c r="F83" s="4">
        <v>320</v>
      </c>
      <c r="G83" t="s">
        <v>81</v>
      </c>
      <c r="H83" t="s">
        <v>91</v>
      </c>
      <c r="I83" t="s">
        <v>315</v>
      </c>
      <c r="J83" t="s">
        <v>83</v>
      </c>
      <c r="K83" s="1">
        <v>45575</v>
      </c>
      <c r="L83" t="s">
        <v>83</v>
      </c>
      <c r="M83">
        <f t="shared" si="4"/>
        <v>3</v>
      </c>
      <c r="N83" s="16">
        <f t="shared" si="6"/>
        <v>3.4</v>
      </c>
      <c r="O83" t="str">
        <f t="shared" si="7"/>
        <v>On Time</v>
      </c>
      <c r="P83" t="s">
        <v>362</v>
      </c>
    </row>
    <row r="84" spans="1:16" x14ac:dyDescent="0.35">
      <c r="A84" s="1">
        <v>45572</v>
      </c>
      <c r="B84" s="1" t="str">
        <f t="shared" si="5"/>
        <v>October-2024</v>
      </c>
      <c r="C84" t="s">
        <v>188</v>
      </c>
      <c r="D84" t="s">
        <v>108</v>
      </c>
      <c r="E84" t="s">
        <v>85</v>
      </c>
      <c r="F84" s="4">
        <v>150</v>
      </c>
      <c r="G84" t="s">
        <v>81</v>
      </c>
      <c r="H84" t="s">
        <v>91</v>
      </c>
      <c r="I84" t="s">
        <v>315</v>
      </c>
      <c r="J84" t="s">
        <v>83</v>
      </c>
      <c r="K84" s="1">
        <v>45575</v>
      </c>
      <c r="L84" t="s">
        <v>83</v>
      </c>
      <c r="M84">
        <f t="shared" si="4"/>
        <v>3</v>
      </c>
      <c r="N84" s="16">
        <f t="shared" si="6"/>
        <v>3.4</v>
      </c>
      <c r="O84" t="str">
        <f t="shared" si="7"/>
        <v>On Time</v>
      </c>
      <c r="P84" t="s">
        <v>362</v>
      </c>
    </row>
    <row r="85" spans="1:16" x14ac:dyDescent="0.35">
      <c r="A85" s="1">
        <v>45572</v>
      </c>
      <c r="B85" s="1" t="str">
        <f t="shared" si="5"/>
        <v>October-2024</v>
      </c>
      <c r="C85" t="s">
        <v>189</v>
      </c>
      <c r="D85" t="s">
        <v>108</v>
      </c>
      <c r="E85" t="s">
        <v>85</v>
      </c>
      <c r="F85" s="4">
        <v>90</v>
      </c>
      <c r="G85" t="s">
        <v>81</v>
      </c>
      <c r="H85" t="s">
        <v>88</v>
      </c>
      <c r="I85" t="s">
        <v>315</v>
      </c>
      <c r="J85" t="s">
        <v>83</v>
      </c>
      <c r="K85" s="1">
        <v>45574</v>
      </c>
      <c r="L85" t="s">
        <v>83</v>
      </c>
      <c r="M85">
        <f t="shared" si="4"/>
        <v>2</v>
      </c>
      <c r="N85" s="16">
        <f t="shared" si="6"/>
        <v>2.406779661016949</v>
      </c>
      <c r="O85" t="str">
        <f t="shared" si="7"/>
        <v>On Time</v>
      </c>
      <c r="P85" t="s">
        <v>362</v>
      </c>
    </row>
    <row r="86" spans="1:16" x14ac:dyDescent="0.35">
      <c r="A86" s="1">
        <v>45572</v>
      </c>
      <c r="B86" s="1" t="str">
        <f t="shared" si="5"/>
        <v>October-2024</v>
      </c>
      <c r="C86" t="s">
        <v>190</v>
      </c>
      <c r="D86" t="s">
        <v>108</v>
      </c>
      <c r="E86" t="s">
        <v>85</v>
      </c>
      <c r="F86" s="4">
        <v>140</v>
      </c>
      <c r="G86" t="s">
        <v>81</v>
      </c>
      <c r="H86" t="s">
        <v>96</v>
      </c>
      <c r="I86" t="s">
        <v>315</v>
      </c>
      <c r="J86" t="s">
        <v>83</v>
      </c>
      <c r="K86" s="1">
        <v>45579</v>
      </c>
      <c r="L86" t="s">
        <v>83</v>
      </c>
      <c r="M86">
        <f t="shared" si="4"/>
        <v>7</v>
      </c>
      <c r="N86" s="16">
        <f t="shared" si="6"/>
        <v>4.5999999999999996</v>
      </c>
      <c r="O86" t="str">
        <f t="shared" si="7"/>
        <v>Delayed</v>
      </c>
      <c r="P86" t="s">
        <v>362</v>
      </c>
    </row>
    <row r="87" spans="1:16" x14ac:dyDescent="0.35">
      <c r="A87" s="1">
        <v>45572</v>
      </c>
      <c r="B87" s="1" t="str">
        <f t="shared" si="5"/>
        <v>October-2024</v>
      </c>
      <c r="C87" t="s">
        <v>191</v>
      </c>
      <c r="D87" t="s">
        <v>108</v>
      </c>
      <c r="E87" t="s">
        <v>85</v>
      </c>
      <c r="F87" s="4">
        <v>90</v>
      </c>
      <c r="G87" t="s">
        <v>81</v>
      </c>
      <c r="H87" t="s">
        <v>90</v>
      </c>
      <c r="I87" t="s">
        <v>315</v>
      </c>
      <c r="J87" t="s">
        <v>83</v>
      </c>
      <c r="K87" s="1">
        <v>45574</v>
      </c>
      <c r="L87" t="s">
        <v>83</v>
      </c>
      <c r="M87">
        <f t="shared" si="4"/>
        <v>2</v>
      </c>
      <c r="N87" s="16">
        <f t="shared" si="6"/>
        <v>2.0555555555555554</v>
      </c>
      <c r="O87" t="str">
        <f t="shared" si="7"/>
        <v>On Time</v>
      </c>
      <c r="P87" t="s">
        <v>362</v>
      </c>
    </row>
    <row r="88" spans="1:16" x14ac:dyDescent="0.35">
      <c r="A88" s="1">
        <v>45572</v>
      </c>
      <c r="B88" s="1" t="str">
        <f t="shared" si="5"/>
        <v>October-2024</v>
      </c>
      <c r="C88" t="s">
        <v>192</v>
      </c>
      <c r="D88" t="s">
        <v>108</v>
      </c>
      <c r="E88" t="s">
        <v>85</v>
      </c>
      <c r="F88" s="4">
        <v>90</v>
      </c>
      <c r="G88" t="s">
        <v>81</v>
      </c>
      <c r="H88" t="s">
        <v>89</v>
      </c>
      <c r="I88" t="s">
        <v>315</v>
      </c>
      <c r="J88" t="s">
        <v>83</v>
      </c>
      <c r="K88" s="1">
        <v>45574</v>
      </c>
      <c r="L88" t="s">
        <v>83</v>
      </c>
      <c r="M88">
        <f t="shared" si="4"/>
        <v>2</v>
      </c>
      <c r="N88" s="16">
        <f t="shared" si="6"/>
        <v>1.7</v>
      </c>
      <c r="O88" t="str">
        <f t="shared" si="7"/>
        <v>Delayed</v>
      </c>
      <c r="P88" t="s">
        <v>362</v>
      </c>
    </row>
    <row r="89" spans="1:16" x14ac:dyDescent="0.35">
      <c r="A89" s="1">
        <v>45572</v>
      </c>
      <c r="B89" s="1" t="str">
        <f t="shared" si="5"/>
        <v>October-2024</v>
      </c>
      <c r="C89" t="s">
        <v>193</v>
      </c>
      <c r="D89" t="s">
        <v>108</v>
      </c>
      <c r="E89" t="s">
        <v>85</v>
      </c>
      <c r="F89" s="4">
        <v>90</v>
      </c>
      <c r="G89" t="s">
        <v>81</v>
      </c>
      <c r="H89" t="s">
        <v>89</v>
      </c>
      <c r="I89" t="s">
        <v>315</v>
      </c>
      <c r="J89" t="s">
        <v>83</v>
      </c>
      <c r="K89" s="1">
        <v>45574</v>
      </c>
      <c r="L89" t="s">
        <v>83</v>
      </c>
      <c r="M89">
        <f t="shared" si="4"/>
        <v>2</v>
      </c>
      <c r="N89" s="16">
        <f t="shared" si="6"/>
        <v>1.7</v>
      </c>
      <c r="O89" t="str">
        <f t="shared" si="7"/>
        <v>Delayed</v>
      </c>
      <c r="P89" t="s">
        <v>362</v>
      </c>
    </row>
    <row r="90" spans="1:16" x14ac:dyDescent="0.35">
      <c r="A90" s="1">
        <v>45572</v>
      </c>
      <c r="B90" s="1" t="str">
        <f t="shared" si="5"/>
        <v>October-2024</v>
      </c>
      <c r="C90" t="s">
        <v>194</v>
      </c>
      <c r="D90" t="s">
        <v>108</v>
      </c>
      <c r="E90" t="s">
        <v>85</v>
      </c>
      <c r="F90" s="4">
        <v>140</v>
      </c>
      <c r="G90" t="s">
        <v>81</v>
      </c>
      <c r="H90" t="s">
        <v>97</v>
      </c>
      <c r="I90" t="s">
        <v>315</v>
      </c>
      <c r="J90" t="s">
        <v>83</v>
      </c>
      <c r="K90" s="1">
        <v>45575</v>
      </c>
      <c r="L90" t="s">
        <v>83</v>
      </c>
      <c r="M90">
        <f t="shared" si="4"/>
        <v>3</v>
      </c>
      <c r="N90" s="16">
        <f t="shared" si="6"/>
        <v>3.6</v>
      </c>
      <c r="O90" t="str">
        <f t="shared" si="7"/>
        <v>On Time</v>
      </c>
      <c r="P90" t="s">
        <v>362</v>
      </c>
    </row>
    <row r="91" spans="1:16" x14ac:dyDescent="0.35">
      <c r="A91" s="1">
        <v>45572</v>
      </c>
      <c r="B91" s="1" t="str">
        <f t="shared" si="5"/>
        <v>October-2024</v>
      </c>
      <c r="C91" t="s">
        <v>195</v>
      </c>
      <c r="D91" t="s">
        <v>108</v>
      </c>
      <c r="E91" t="s">
        <v>85</v>
      </c>
      <c r="F91" s="4">
        <v>90</v>
      </c>
      <c r="G91" t="s">
        <v>81</v>
      </c>
      <c r="H91" t="s">
        <v>92</v>
      </c>
      <c r="I91" t="s">
        <v>315</v>
      </c>
      <c r="J91" t="s">
        <v>83</v>
      </c>
      <c r="K91" s="1">
        <v>45574</v>
      </c>
      <c r="L91" t="s">
        <v>83</v>
      </c>
      <c r="M91">
        <f t="shared" si="4"/>
        <v>2</v>
      </c>
      <c r="N91" s="16">
        <f t="shared" si="6"/>
        <v>2.1666666666666665</v>
      </c>
      <c r="O91" t="str">
        <f t="shared" si="7"/>
        <v>On Time</v>
      </c>
      <c r="P91" t="s">
        <v>362</v>
      </c>
    </row>
    <row r="92" spans="1:16" x14ac:dyDescent="0.35">
      <c r="A92" s="1">
        <v>45572</v>
      </c>
      <c r="B92" s="1" t="str">
        <f t="shared" si="5"/>
        <v>October-2024</v>
      </c>
      <c r="C92" t="s">
        <v>196</v>
      </c>
      <c r="D92" t="s">
        <v>108</v>
      </c>
      <c r="E92" t="s">
        <v>85</v>
      </c>
      <c r="F92" s="4">
        <v>100</v>
      </c>
      <c r="G92" t="s">
        <v>81</v>
      </c>
      <c r="H92" t="s">
        <v>88</v>
      </c>
      <c r="I92" t="s">
        <v>315</v>
      </c>
      <c r="J92" t="s">
        <v>83</v>
      </c>
      <c r="K92" s="1">
        <v>45574</v>
      </c>
      <c r="L92" t="s">
        <v>83</v>
      </c>
      <c r="M92">
        <f t="shared" si="4"/>
        <v>2</v>
      </c>
      <c r="N92" s="16">
        <f t="shared" si="6"/>
        <v>2.406779661016949</v>
      </c>
      <c r="O92" t="str">
        <f t="shared" si="7"/>
        <v>On Time</v>
      </c>
      <c r="P92" t="s">
        <v>362</v>
      </c>
    </row>
    <row r="93" spans="1:16" x14ac:dyDescent="0.35">
      <c r="A93" s="1">
        <v>45572</v>
      </c>
      <c r="B93" s="1" t="str">
        <f t="shared" si="5"/>
        <v>October-2024</v>
      </c>
      <c r="C93" t="s">
        <v>197</v>
      </c>
      <c r="D93" t="s">
        <v>108</v>
      </c>
      <c r="E93" t="s">
        <v>85</v>
      </c>
      <c r="F93" s="4">
        <v>120</v>
      </c>
      <c r="G93" t="s">
        <v>81</v>
      </c>
      <c r="H93" t="s">
        <v>92</v>
      </c>
      <c r="I93" t="s">
        <v>315</v>
      </c>
      <c r="J93" t="s">
        <v>83</v>
      </c>
      <c r="K93" s="1">
        <v>45574</v>
      </c>
      <c r="L93" t="s">
        <v>83</v>
      </c>
      <c r="M93">
        <f t="shared" si="4"/>
        <v>2</v>
      </c>
      <c r="N93" s="16">
        <f t="shared" si="6"/>
        <v>2.1666666666666665</v>
      </c>
      <c r="O93" t="str">
        <f t="shared" si="7"/>
        <v>On Time</v>
      </c>
      <c r="P93" t="s">
        <v>362</v>
      </c>
    </row>
    <row r="94" spans="1:16" x14ac:dyDescent="0.35">
      <c r="A94" s="1">
        <v>45572</v>
      </c>
      <c r="B94" s="1" t="str">
        <f t="shared" si="5"/>
        <v>October-2024</v>
      </c>
      <c r="C94" t="s">
        <v>198</v>
      </c>
      <c r="D94" t="s">
        <v>108</v>
      </c>
      <c r="E94" t="s">
        <v>85</v>
      </c>
      <c r="F94" s="4">
        <v>90</v>
      </c>
      <c r="G94" t="s">
        <v>81</v>
      </c>
      <c r="H94" t="s">
        <v>92</v>
      </c>
      <c r="I94" t="s">
        <v>315</v>
      </c>
      <c r="J94" t="s">
        <v>83</v>
      </c>
      <c r="K94" s="1">
        <v>45574</v>
      </c>
      <c r="L94" t="s">
        <v>83</v>
      </c>
      <c r="M94">
        <f t="shared" si="4"/>
        <v>2</v>
      </c>
      <c r="N94" s="16">
        <f t="shared" si="6"/>
        <v>2.1666666666666665</v>
      </c>
      <c r="O94" t="str">
        <f t="shared" si="7"/>
        <v>On Time</v>
      </c>
      <c r="P94" t="s">
        <v>362</v>
      </c>
    </row>
    <row r="95" spans="1:16" x14ac:dyDescent="0.35">
      <c r="A95" s="1">
        <v>45572</v>
      </c>
      <c r="B95" s="1" t="str">
        <f t="shared" si="5"/>
        <v>October-2024</v>
      </c>
      <c r="C95" t="s">
        <v>199</v>
      </c>
      <c r="D95" t="s">
        <v>108</v>
      </c>
      <c r="E95" t="s">
        <v>85</v>
      </c>
      <c r="F95" s="4">
        <v>140</v>
      </c>
      <c r="G95" t="s">
        <v>81</v>
      </c>
      <c r="H95" t="s">
        <v>96</v>
      </c>
      <c r="I95" t="s">
        <v>315</v>
      </c>
      <c r="J95" t="s">
        <v>83</v>
      </c>
      <c r="K95" s="1">
        <v>45579</v>
      </c>
      <c r="L95" t="s">
        <v>83</v>
      </c>
      <c r="M95">
        <f t="shared" si="4"/>
        <v>7</v>
      </c>
      <c r="N95" s="16">
        <f t="shared" si="6"/>
        <v>4.5999999999999996</v>
      </c>
      <c r="O95" t="str">
        <f t="shared" si="7"/>
        <v>Delayed</v>
      </c>
      <c r="P95" t="s">
        <v>362</v>
      </c>
    </row>
    <row r="96" spans="1:16" x14ac:dyDescent="0.35">
      <c r="A96" s="1">
        <v>45572</v>
      </c>
      <c r="B96" s="1" t="str">
        <f t="shared" si="5"/>
        <v>October-2024</v>
      </c>
      <c r="C96" t="s">
        <v>200</v>
      </c>
      <c r="D96" t="s">
        <v>108</v>
      </c>
      <c r="E96" t="s">
        <v>85</v>
      </c>
      <c r="F96" s="4">
        <v>90</v>
      </c>
      <c r="G96" t="s">
        <v>81</v>
      </c>
      <c r="H96" t="s">
        <v>90</v>
      </c>
      <c r="I96" t="s">
        <v>315</v>
      </c>
      <c r="J96" t="s">
        <v>83</v>
      </c>
      <c r="K96" s="1">
        <v>45574</v>
      </c>
      <c r="L96" t="s">
        <v>83</v>
      </c>
      <c r="M96">
        <f t="shared" si="4"/>
        <v>2</v>
      </c>
      <c r="N96" s="16">
        <f t="shared" si="6"/>
        <v>2.0555555555555554</v>
      </c>
      <c r="O96" t="str">
        <f t="shared" si="7"/>
        <v>On Time</v>
      </c>
      <c r="P96" t="s">
        <v>362</v>
      </c>
    </row>
    <row r="97" spans="1:16" x14ac:dyDescent="0.35">
      <c r="A97" s="1">
        <v>45572</v>
      </c>
      <c r="B97" s="1" t="str">
        <f t="shared" si="5"/>
        <v>October-2024</v>
      </c>
      <c r="C97" t="s">
        <v>201</v>
      </c>
      <c r="D97" t="s">
        <v>108</v>
      </c>
      <c r="E97" t="s">
        <v>85</v>
      </c>
      <c r="F97" s="4">
        <v>90</v>
      </c>
      <c r="G97" t="s">
        <v>81</v>
      </c>
      <c r="H97" t="s">
        <v>90</v>
      </c>
      <c r="I97" t="s">
        <v>315</v>
      </c>
      <c r="J97" t="s">
        <v>83</v>
      </c>
      <c r="K97" s="1">
        <v>45574</v>
      </c>
      <c r="L97" t="s">
        <v>83</v>
      </c>
      <c r="M97">
        <f t="shared" si="4"/>
        <v>2</v>
      </c>
      <c r="N97" s="16">
        <f t="shared" si="6"/>
        <v>2.0555555555555554</v>
      </c>
      <c r="O97" t="str">
        <f t="shared" si="7"/>
        <v>On Time</v>
      </c>
      <c r="P97" t="s">
        <v>362</v>
      </c>
    </row>
    <row r="98" spans="1:16" x14ac:dyDescent="0.35">
      <c r="A98" s="1">
        <v>45572</v>
      </c>
      <c r="B98" s="1" t="str">
        <f t="shared" si="5"/>
        <v>October-2024</v>
      </c>
      <c r="C98" t="s">
        <v>149</v>
      </c>
      <c r="D98" t="s">
        <v>142</v>
      </c>
      <c r="E98" t="s">
        <v>85</v>
      </c>
      <c r="F98" s="4">
        <v>390</v>
      </c>
      <c r="G98" t="s">
        <v>81</v>
      </c>
      <c r="H98" t="s">
        <v>151</v>
      </c>
      <c r="I98" t="s">
        <v>315</v>
      </c>
      <c r="J98" t="s">
        <v>150</v>
      </c>
      <c r="K98" s="1">
        <v>45576</v>
      </c>
      <c r="L98" t="s">
        <v>83</v>
      </c>
      <c r="M98">
        <f t="shared" si="4"/>
        <v>4</v>
      </c>
      <c r="N98" s="16">
        <f t="shared" si="6"/>
        <v>4</v>
      </c>
      <c r="O98" t="str">
        <f t="shared" si="7"/>
        <v>On Time</v>
      </c>
      <c r="P98" t="s">
        <v>362</v>
      </c>
    </row>
    <row r="99" spans="1:16" x14ac:dyDescent="0.35">
      <c r="A99" s="1">
        <v>45572</v>
      </c>
      <c r="B99" s="1" t="str">
        <f t="shared" si="5"/>
        <v>October-2024</v>
      </c>
      <c r="C99" t="s">
        <v>145</v>
      </c>
      <c r="D99" t="s">
        <v>142</v>
      </c>
      <c r="E99" t="s">
        <v>85</v>
      </c>
      <c r="F99" s="4">
        <v>855</v>
      </c>
      <c r="G99" t="s">
        <v>81</v>
      </c>
      <c r="H99" t="s">
        <v>89</v>
      </c>
      <c r="I99" t="s">
        <v>315</v>
      </c>
      <c r="J99" t="s">
        <v>146</v>
      </c>
      <c r="K99" s="1">
        <v>45573</v>
      </c>
      <c r="L99" t="s">
        <v>83</v>
      </c>
      <c r="M99">
        <f t="shared" si="4"/>
        <v>1</v>
      </c>
      <c r="N99" s="16">
        <f t="shared" si="6"/>
        <v>1.7</v>
      </c>
      <c r="O99" t="str">
        <f t="shared" si="7"/>
        <v>On Time</v>
      </c>
      <c r="P99" t="s">
        <v>362</v>
      </c>
    </row>
    <row r="100" spans="1:16" x14ac:dyDescent="0.35">
      <c r="A100" s="1">
        <v>45572</v>
      </c>
      <c r="B100" s="1" t="str">
        <f t="shared" si="5"/>
        <v>October-2024</v>
      </c>
      <c r="C100" t="s">
        <v>143</v>
      </c>
      <c r="D100" t="s">
        <v>142</v>
      </c>
      <c r="E100" t="s">
        <v>85</v>
      </c>
      <c r="F100" s="4">
        <v>1250</v>
      </c>
      <c r="G100" t="s">
        <v>81</v>
      </c>
      <c r="H100" t="s">
        <v>144</v>
      </c>
      <c r="I100" t="s">
        <v>315</v>
      </c>
      <c r="J100" t="s">
        <v>94</v>
      </c>
      <c r="K100" s="1">
        <v>45574</v>
      </c>
      <c r="L100" t="s">
        <v>83</v>
      </c>
      <c r="M100">
        <f t="shared" si="4"/>
        <v>2</v>
      </c>
      <c r="N100" s="16">
        <f t="shared" si="6"/>
        <v>2</v>
      </c>
      <c r="O100" t="str">
        <f t="shared" si="7"/>
        <v>On Time</v>
      </c>
      <c r="P100" t="s">
        <v>362</v>
      </c>
    </row>
    <row r="101" spans="1:16" x14ac:dyDescent="0.35">
      <c r="A101" s="1">
        <v>45572</v>
      </c>
      <c r="B101" s="1" t="str">
        <f t="shared" si="5"/>
        <v>October-2024</v>
      </c>
      <c r="C101" t="s">
        <v>152</v>
      </c>
      <c r="D101" t="s">
        <v>142</v>
      </c>
      <c r="E101" t="s">
        <v>85</v>
      </c>
      <c r="F101" s="4">
        <v>310</v>
      </c>
      <c r="G101" t="s">
        <v>81</v>
      </c>
      <c r="H101" t="s">
        <v>89</v>
      </c>
      <c r="I101" t="s">
        <v>315</v>
      </c>
      <c r="J101" t="s">
        <v>83</v>
      </c>
      <c r="K101" s="1">
        <v>45573</v>
      </c>
      <c r="L101" t="s">
        <v>83</v>
      </c>
      <c r="M101">
        <f t="shared" si="4"/>
        <v>1</v>
      </c>
      <c r="N101" s="16">
        <f t="shared" si="6"/>
        <v>1.7</v>
      </c>
      <c r="O101" t="str">
        <f t="shared" si="7"/>
        <v>On Time</v>
      </c>
      <c r="P101" t="s">
        <v>362</v>
      </c>
    </row>
    <row r="102" spans="1:16" x14ac:dyDescent="0.35">
      <c r="A102" s="1">
        <v>45572</v>
      </c>
      <c r="B102" s="1" t="str">
        <f t="shared" si="5"/>
        <v>October-2024</v>
      </c>
      <c r="C102" t="s">
        <v>153</v>
      </c>
      <c r="D102" t="s">
        <v>142</v>
      </c>
      <c r="E102" t="s">
        <v>85</v>
      </c>
      <c r="F102" s="4">
        <v>350</v>
      </c>
      <c r="G102" t="s">
        <v>81</v>
      </c>
      <c r="H102" t="s">
        <v>154</v>
      </c>
      <c r="I102" t="s">
        <v>315</v>
      </c>
      <c r="J102" t="s">
        <v>150</v>
      </c>
      <c r="K102" s="1">
        <v>45575</v>
      </c>
      <c r="L102" t="s">
        <v>83</v>
      </c>
      <c r="M102">
        <f t="shared" si="4"/>
        <v>3</v>
      </c>
      <c r="N102" s="16">
        <f t="shared" si="6"/>
        <v>3</v>
      </c>
      <c r="O102" t="str">
        <f t="shared" si="7"/>
        <v>On Time</v>
      </c>
      <c r="P102" t="s">
        <v>362</v>
      </c>
    </row>
    <row r="103" spans="1:16" x14ac:dyDescent="0.35">
      <c r="A103" s="1">
        <v>45573</v>
      </c>
      <c r="B103" s="1" t="str">
        <f t="shared" si="5"/>
        <v>October-2024</v>
      </c>
      <c r="C103" t="s">
        <v>202</v>
      </c>
      <c r="D103" t="s">
        <v>108</v>
      </c>
      <c r="E103" t="s">
        <v>85</v>
      </c>
      <c r="F103" s="4">
        <v>110</v>
      </c>
      <c r="G103" t="s">
        <v>81</v>
      </c>
      <c r="H103" t="s">
        <v>86</v>
      </c>
      <c r="I103" t="s">
        <v>315</v>
      </c>
      <c r="J103" t="s">
        <v>94</v>
      </c>
      <c r="K103" s="1">
        <v>45575</v>
      </c>
      <c r="L103" t="s">
        <v>83</v>
      </c>
      <c r="M103">
        <f t="shared" si="4"/>
        <v>2</v>
      </c>
      <c r="N103" s="16">
        <f t="shared" si="6"/>
        <v>2.1428571428571428</v>
      </c>
      <c r="O103" t="str">
        <f t="shared" si="7"/>
        <v>On Time</v>
      </c>
      <c r="P103" t="s">
        <v>363</v>
      </c>
    </row>
    <row r="104" spans="1:16" x14ac:dyDescent="0.35">
      <c r="A104" s="1">
        <v>45573</v>
      </c>
      <c r="B104" s="1" t="str">
        <f t="shared" si="5"/>
        <v>October-2024</v>
      </c>
      <c r="C104" t="s">
        <v>203</v>
      </c>
      <c r="D104" t="s">
        <v>108</v>
      </c>
      <c r="E104" t="s">
        <v>85</v>
      </c>
      <c r="F104" s="4">
        <v>90</v>
      </c>
      <c r="G104" t="s">
        <v>81</v>
      </c>
      <c r="H104" t="s">
        <v>209</v>
      </c>
      <c r="I104" t="s">
        <v>315</v>
      </c>
      <c r="J104" t="s">
        <v>83</v>
      </c>
      <c r="K104" s="1">
        <v>45574</v>
      </c>
      <c r="L104" t="s">
        <v>83</v>
      </c>
      <c r="M104">
        <f t="shared" si="4"/>
        <v>1</v>
      </c>
      <c r="N104" s="16">
        <f t="shared" si="6"/>
        <v>1</v>
      </c>
      <c r="O104" t="str">
        <f t="shared" si="7"/>
        <v>On Time</v>
      </c>
      <c r="P104" t="s">
        <v>363</v>
      </c>
    </row>
    <row r="105" spans="1:16" x14ac:dyDescent="0.35">
      <c r="A105" s="1">
        <v>45573</v>
      </c>
      <c r="B105" s="1" t="str">
        <f t="shared" si="5"/>
        <v>October-2024</v>
      </c>
      <c r="C105" t="s">
        <v>204</v>
      </c>
      <c r="D105" t="s">
        <v>108</v>
      </c>
      <c r="E105" t="s">
        <v>85</v>
      </c>
      <c r="F105" s="4">
        <v>150</v>
      </c>
      <c r="G105" t="s">
        <v>81</v>
      </c>
      <c r="H105" t="s">
        <v>214</v>
      </c>
      <c r="I105" t="s">
        <v>315</v>
      </c>
      <c r="J105" t="s">
        <v>83</v>
      </c>
      <c r="K105" s="1">
        <v>45574</v>
      </c>
      <c r="L105" t="s">
        <v>83</v>
      </c>
      <c r="M105">
        <f t="shared" si="4"/>
        <v>1</v>
      </c>
      <c r="N105" s="16">
        <f t="shared" si="6"/>
        <v>1</v>
      </c>
      <c r="O105" t="str">
        <f t="shared" si="7"/>
        <v>On Time</v>
      </c>
      <c r="P105" t="s">
        <v>363</v>
      </c>
    </row>
    <row r="106" spans="1:16" x14ac:dyDescent="0.35">
      <c r="A106" s="1">
        <v>45573</v>
      </c>
      <c r="B106" s="1" t="str">
        <f t="shared" si="5"/>
        <v>October-2024</v>
      </c>
      <c r="C106" t="s">
        <v>205</v>
      </c>
      <c r="D106" t="s">
        <v>108</v>
      </c>
      <c r="E106" t="s">
        <v>85</v>
      </c>
      <c r="F106" s="4">
        <v>210</v>
      </c>
      <c r="G106" t="s">
        <v>81</v>
      </c>
      <c r="H106" t="s">
        <v>136</v>
      </c>
      <c r="I106" t="s">
        <v>315</v>
      </c>
      <c r="J106" t="s">
        <v>212</v>
      </c>
      <c r="K106" s="1">
        <v>45576</v>
      </c>
      <c r="L106" t="s">
        <v>83</v>
      </c>
      <c r="M106">
        <f t="shared" si="4"/>
        <v>3</v>
      </c>
      <c r="N106" s="16">
        <f t="shared" si="6"/>
        <v>3.5</v>
      </c>
      <c r="O106" t="str">
        <f t="shared" si="7"/>
        <v>On Time</v>
      </c>
      <c r="P106" t="s">
        <v>363</v>
      </c>
    </row>
    <row r="107" spans="1:16" x14ac:dyDescent="0.35">
      <c r="A107" s="1">
        <v>45573</v>
      </c>
      <c r="B107" s="1" t="str">
        <f t="shared" si="5"/>
        <v>October-2024</v>
      </c>
      <c r="C107" t="s">
        <v>206</v>
      </c>
      <c r="D107" t="s">
        <v>108</v>
      </c>
      <c r="E107" t="s">
        <v>85</v>
      </c>
      <c r="F107" s="4">
        <v>150</v>
      </c>
      <c r="G107" t="s">
        <v>81</v>
      </c>
      <c r="H107" t="s">
        <v>131</v>
      </c>
      <c r="I107" t="s">
        <v>315</v>
      </c>
      <c r="J107" t="s">
        <v>83</v>
      </c>
      <c r="K107" s="1">
        <v>45575</v>
      </c>
      <c r="L107" t="s">
        <v>83</v>
      </c>
      <c r="M107">
        <f t="shared" si="4"/>
        <v>2</v>
      </c>
      <c r="N107" s="16">
        <f t="shared" si="6"/>
        <v>2.2000000000000002</v>
      </c>
      <c r="O107" t="str">
        <f t="shared" si="7"/>
        <v>On Time</v>
      </c>
      <c r="P107" t="s">
        <v>363</v>
      </c>
    </row>
    <row r="108" spans="1:16" x14ac:dyDescent="0.35">
      <c r="A108" s="1">
        <v>45573</v>
      </c>
      <c r="B108" s="1" t="str">
        <f t="shared" si="5"/>
        <v>October-2024</v>
      </c>
      <c r="C108" t="s">
        <v>207</v>
      </c>
      <c r="D108" t="s">
        <v>108</v>
      </c>
      <c r="E108" t="s">
        <v>85</v>
      </c>
      <c r="F108" s="4">
        <v>120</v>
      </c>
      <c r="G108" t="s">
        <v>81</v>
      </c>
      <c r="H108" t="s">
        <v>215</v>
      </c>
      <c r="I108" t="s">
        <v>315</v>
      </c>
      <c r="J108" t="s">
        <v>83</v>
      </c>
      <c r="K108" s="1">
        <v>45575</v>
      </c>
      <c r="L108" t="s">
        <v>83</v>
      </c>
      <c r="M108">
        <f t="shared" si="4"/>
        <v>2</v>
      </c>
      <c r="N108" s="16">
        <f t="shared" si="6"/>
        <v>2</v>
      </c>
      <c r="O108" t="str">
        <f t="shared" si="7"/>
        <v>On Time</v>
      </c>
      <c r="P108" t="s">
        <v>363</v>
      </c>
    </row>
    <row r="109" spans="1:16" x14ac:dyDescent="0.35">
      <c r="A109" s="1">
        <v>45573</v>
      </c>
      <c r="B109" s="1" t="str">
        <f t="shared" si="5"/>
        <v>October-2024</v>
      </c>
      <c r="C109" t="s">
        <v>109</v>
      </c>
      <c r="D109" t="s">
        <v>108</v>
      </c>
      <c r="E109" t="s">
        <v>85</v>
      </c>
      <c r="F109" s="4">
        <v>480</v>
      </c>
      <c r="G109" t="s">
        <v>81</v>
      </c>
      <c r="H109" t="s">
        <v>129</v>
      </c>
      <c r="I109" t="s">
        <v>315</v>
      </c>
      <c r="J109" t="s">
        <v>83</v>
      </c>
      <c r="K109" s="1">
        <v>45579</v>
      </c>
      <c r="L109" t="s">
        <v>83</v>
      </c>
      <c r="M109">
        <f t="shared" si="4"/>
        <v>6</v>
      </c>
      <c r="N109" s="16">
        <f t="shared" si="6"/>
        <v>6</v>
      </c>
      <c r="O109" t="str">
        <f t="shared" si="7"/>
        <v>On Time</v>
      </c>
      <c r="P109" t="s">
        <v>363</v>
      </c>
    </row>
    <row r="110" spans="1:16" x14ac:dyDescent="0.35">
      <c r="A110" s="1">
        <v>45573</v>
      </c>
      <c r="B110" s="1" t="str">
        <f t="shared" si="5"/>
        <v>October-2024</v>
      </c>
      <c r="C110" t="s">
        <v>110</v>
      </c>
      <c r="D110" t="s">
        <v>108</v>
      </c>
      <c r="E110" t="s">
        <v>85</v>
      </c>
      <c r="F110" s="4">
        <v>90</v>
      </c>
      <c r="G110" t="s">
        <v>81</v>
      </c>
      <c r="H110" t="s">
        <v>88</v>
      </c>
      <c r="I110" t="s">
        <v>315</v>
      </c>
      <c r="J110" t="s">
        <v>83</v>
      </c>
      <c r="K110" s="1">
        <v>45576</v>
      </c>
      <c r="L110" t="s">
        <v>83</v>
      </c>
      <c r="M110">
        <f t="shared" si="4"/>
        <v>3</v>
      </c>
      <c r="N110" s="16">
        <f t="shared" si="6"/>
        <v>2.406779661016949</v>
      </c>
      <c r="O110" t="str">
        <f t="shared" si="7"/>
        <v>Delayed</v>
      </c>
      <c r="P110" t="s">
        <v>363</v>
      </c>
    </row>
    <row r="111" spans="1:16" x14ac:dyDescent="0.35">
      <c r="A111" s="1">
        <v>45574</v>
      </c>
      <c r="B111" s="1" t="str">
        <f t="shared" si="5"/>
        <v>October-2024</v>
      </c>
      <c r="C111" t="s">
        <v>111</v>
      </c>
      <c r="D111" t="s">
        <v>108</v>
      </c>
      <c r="E111" t="s">
        <v>85</v>
      </c>
      <c r="F111" s="4">
        <v>140</v>
      </c>
      <c r="G111" t="s">
        <v>81</v>
      </c>
      <c r="H111" t="s">
        <v>89</v>
      </c>
      <c r="I111" t="s">
        <v>315</v>
      </c>
      <c r="J111" t="s">
        <v>83</v>
      </c>
      <c r="K111" s="1">
        <v>45576</v>
      </c>
      <c r="L111" t="s">
        <v>83</v>
      </c>
      <c r="M111">
        <f t="shared" si="4"/>
        <v>2</v>
      </c>
      <c r="N111" s="16">
        <f t="shared" si="6"/>
        <v>1.7</v>
      </c>
      <c r="O111" t="str">
        <f t="shared" si="7"/>
        <v>Delayed</v>
      </c>
      <c r="P111" t="s">
        <v>364</v>
      </c>
    </row>
    <row r="112" spans="1:16" x14ac:dyDescent="0.35">
      <c r="A112" s="1">
        <v>45574</v>
      </c>
      <c r="B112" s="1" t="str">
        <f t="shared" si="5"/>
        <v>October-2024</v>
      </c>
      <c r="C112" t="s">
        <v>112</v>
      </c>
      <c r="D112" t="s">
        <v>108</v>
      </c>
      <c r="E112" t="s">
        <v>85</v>
      </c>
      <c r="F112" s="4">
        <v>150</v>
      </c>
      <c r="G112" t="s">
        <v>81</v>
      </c>
      <c r="H112" t="s">
        <v>130</v>
      </c>
      <c r="I112" t="s">
        <v>315</v>
      </c>
      <c r="J112" t="s">
        <v>83</v>
      </c>
      <c r="K112" s="1">
        <v>45575</v>
      </c>
      <c r="L112" t="s">
        <v>83</v>
      </c>
      <c r="M112">
        <f t="shared" si="4"/>
        <v>1</v>
      </c>
      <c r="N112" s="16">
        <f t="shared" si="6"/>
        <v>1.5</v>
      </c>
      <c r="O112" t="str">
        <f t="shared" si="7"/>
        <v>On Time</v>
      </c>
      <c r="P112" t="s">
        <v>364</v>
      </c>
    </row>
    <row r="113" spans="1:16" x14ac:dyDescent="0.35">
      <c r="A113" s="1">
        <v>45574</v>
      </c>
      <c r="B113" s="1" t="str">
        <f t="shared" si="5"/>
        <v>October-2024</v>
      </c>
      <c r="C113" t="s">
        <v>113</v>
      </c>
      <c r="D113" t="s">
        <v>108</v>
      </c>
      <c r="E113" t="s">
        <v>85</v>
      </c>
      <c r="F113" s="4">
        <v>140</v>
      </c>
      <c r="G113" t="s">
        <v>81</v>
      </c>
      <c r="H113" t="s">
        <v>131</v>
      </c>
      <c r="I113" t="s">
        <v>315</v>
      </c>
      <c r="J113" t="s">
        <v>83</v>
      </c>
      <c r="K113" s="1">
        <v>45576</v>
      </c>
      <c r="L113" t="s">
        <v>83</v>
      </c>
      <c r="M113">
        <f t="shared" si="4"/>
        <v>2</v>
      </c>
      <c r="N113" s="16">
        <f t="shared" si="6"/>
        <v>2.2000000000000002</v>
      </c>
      <c r="O113" t="str">
        <f t="shared" si="7"/>
        <v>On Time</v>
      </c>
      <c r="P113" t="s">
        <v>364</v>
      </c>
    </row>
    <row r="114" spans="1:16" x14ac:dyDescent="0.35">
      <c r="A114" s="1">
        <v>45574</v>
      </c>
      <c r="B114" s="1" t="str">
        <f t="shared" si="5"/>
        <v>October-2024</v>
      </c>
      <c r="C114" t="s">
        <v>114</v>
      </c>
      <c r="D114" t="s">
        <v>108</v>
      </c>
      <c r="E114" t="s">
        <v>85</v>
      </c>
      <c r="F114" s="4">
        <v>140</v>
      </c>
      <c r="G114" t="s">
        <v>81</v>
      </c>
      <c r="H114" t="s">
        <v>131</v>
      </c>
      <c r="I114" t="s">
        <v>315</v>
      </c>
      <c r="J114" t="s">
        <v>83</v>
      </c>
      <c r="K114" s="1">
        <v>45576</v>
      </c>
      <c r="L114" t="s">
        <v>83</v>
      </c>
      <c r="M114">
        <f t="shared" si="4"/>
        <v>2</v>
      </c>
      <c r="N114" s="16">
        <f t="shared" si="6"/>
        <v>2.2000000000000002</v>
      </c>
      <c r="O114" t="str">
        <f t="shared" si="7"/>
        <v>On Time</v>
      </c>
      <c r="P114" t="s">
        <v>364</v>
      </c>
    </row>
    <row r="115" spans="1:16" x14ac:dyDescent="0.35">
      <c r="A115" s="1">
        <v>45574</v>
      </c>
      <c r="B115" s="1" t="str">
        <f t="shared" si="5"/>
        <v>October-2024</v>
      </c>
      <c r="C115" t="s">
        <v>115</v>
      </c>
      <c r="D115" t="s">
        <v>108</v>
      </c>
      <c r="E115" t="s">
        <v>85</v>
      </c>
      <c r="F115" s="4">
        <v>170</v>
      </c>
      <c r="G115" t="s">
        <v>81</v>
      </c>
      <c r="H115" t="s">
        <v>87</v>
      </c>
      <c r="I115" t="s">
        <v>315</v>
      </c>
      <c r="J115" t="s">
        <v>83</v>
      </c>
      <c r="K115" s="1">
        <v>45579</v>
      </c>
      <c r="L115" t="s">
        <v>83</v>
      </c>
      <c r="M115">
        <f t="shared" si="4"/>
        <v>5</v>
      </c>
      <c r="N115" s="16">
        <f t="shared" si="6"/>
        <v>3.5185185185185186</v>
      </c>
      <c r="O115" t="str">
        <f t="shared" si="7"/>
        <v>Delayed</v>
      </c>
      <c r="P115" t="s">
        <v>364</v>
      </c>
    </row>
    <row r="116" spans="1:16" x14ac:dyDescent="0.35">
      <c r="A116" s="1">
        <v>45574</v>
      </c>
      <c r="B116" s="1" t="str">
        <f t="shared" si="5"/>
        <v>October-2024</v>
      </c>
      <c r="C116" t="s">
        <v>116</v>
      </c>
      <c r="D116" t="s">
        <v>108</v>
      </c>
      <c r="E116" t="s">
        <v>85</v>
      </c>
      <c r="F116" s="4">
        <v>300</v>
      </c>
      <c r="G116" t="s">
        <v>81</v>
      </c>
      <c r="H116" t="s">
        <v>90</v>
      </c>
      <c r="I116" t="s">
        <v>315</v>
      </c>
      <c r="J116" t="s">
        <v>83</v>
      </c>
      <c r="K116" s="1">
        <v>45576</v>
      </c>
      <c r="L116" t="s">
        <v>83</v>
      </c>
      <c r="M116">
        <f t="shared" si="4"/>
        <v>2</v>
      </c>
      <c r="N116" s="16">
        <f t="shared" si="6"/>
        <v>2.0555555555555554</v>
      </c>
      <c r="O116" t="str">
        <f t="shared" si="7"/>
        <v>On Time</v>
      </c>
      <c r="P116" t="s">
        <v>364</v>
      </c>
    </row>
    <row r="117" spans="1:16" x14ac:dyDescent="0.35">
      <c r="A117" s="1">
        <v>45574</v>
      </c>
      <c r="B117" s="1" t="str">
        <f t="shared" si="5"/>
        <v>October-2024</v>
      </c>
      <c r="C117" t="s">
        <v>117</v>
      </c>
      <c r="D117" t="s">
        <v>108</v>
      </c>
      <c r="E117" t="s">
        <v>85</v>
      </c>
      <c r="F117" s="4">
        <v>210</v>
      </c>
      <c r="G117" t="s">
        <v>81</v>
      </c>
      <c r="H117" t="s">
        <v>132</v>
      </c>
      <c r="I117" t="s">
        <v>315</v>
      </c>
      <c r="J117" t="s">
        <v>83</v>
      </c>
      <c r="K117" s="1">
        <v>45576</v>
      </c>
      <c r="L117" t="s">
        <v>83</v>
      </c>
      <c r="M117">
        <f t="shared" si="4"/>
        <v>2</v>
      </c>
      <c r="N117" s="16">
        <f t="shared" si="6"/>
        <v>2.3333333333333335</v>
      </c>
      <c r="O117" t="str">
        <f t="shared" si="7"/>
        <v>On Time</v>
      </c>
      <c r="P117" t="s">
        <v>364</v>
      </c>
    </row>
    <row r="118" spans="1:16" x14ac:dyDescent="0.35">
      <c r="A118" s="1">
        <v>45574</v>
      </c>
      <c r="B118" s="1" t="str">
        <f t="shared" si="5"/>
        <v>October-2024</v>
      </c>
      <c r="C118" t="s">
        <v>118</v>
      </c>
      <c r="D118" t="s">
        <v>108</v>
      </c>
      <c r="E118" t="s">
        <v>85</v>
      </c>
      <c r="F118" s="4">
        <v>110</v>
      </c>
      <c r="G118" t="s">
        <v>81</v>
      </c>
      <c r="H118" t="s">
        <v>133</v>
      </c>
      <c r="I118" t="s">
        <v>315</v>
      </c>
      <c r="J118" t="s">
        <v>83</v>
      </c>
      <c r="K118" s="1">
        <v>45578</v>
      </c>
      <c r="L118" t="s">
        <v>83</v>
      </c>
      <c r="M118">
        <f t="shared" si="4"/>
        <v>4</v>
      </c>
      <c r="N118" s="16">
        <f t="shared" si="6"/>
        <v>4</v>
      </c>
      <c r="O118" t="str">
        <f t="shared" si="7"/>
        <v>On Time</v>
      </c>
      <c r="P118" t="s">
        <v>364</v>
      </c>
    </row>
    <row r="119" spans="1:16" x14ac:dyDescent="0.35">
      <c r="A119" s="1">
        <v>45574</v>
      </c>
      <c r="B119" s="1" t="str">
        <f t="shared" si="5"/>
        <v>October-2024</v>
      </c>
      <c r="C119" t="s">
        <v>119</v>
      </c>
      <c r="D119" t="s">
        <v>108</v>
      </c>
      <c r="E119" t="s">
        <v>85</v>
      </c>
      <c r="F119" s="4">
        <v>110</v>
      </c>
      <c r="G119" t="s">
        <v>81</v>
      </c>
      <c r="H119" t="s">
        <v>134</v>
      </c>
      <c r="I119" t="s">
        <v>315</v>
      </c>
      <c r="J119" t="s">
        <v>83</v>
      </c>
      <c r="K119" s="1">
        <v>45575</v>
      </c>
      <c r="L119" t="s">
        <v>83</v>
      </c>
      <c r="M119">
        <f t="shared" si="4"/>
        <v>1</v>
      </c>
      <c r="N119" s="16">
        <f t="shared" si="6"/>
        <v>1</v>
      </c>
      <c r="O119" t="str">
        <f t="shared" si="7"/>
        <v>On Time</v>
      </c>
      <c r="P119" t="s">
        <v>364</v>
      </c>
    </row>
    <row r="120" spans="1:16" x14ac:dyDescent="0.35">
      <c r="A120" s="1">
        <v>45574</v>
      </c>
      <c r="B120" s="1" t="str">
        <f t="shared" si="5"/>
        <v>October-2024</v>
      </c>
      <c r="C120" t="s">
        <v>120</v>
      </c>
      <c r="D120" t="s">
        <v>108</v>
      </c>
      <c r="E120" t="s">
        <v>85</v>
      </c>
      <c r="F120" s="4">
        <v>140</v>
      </c>
      <c r="G120" t="s">
        <v>81</v>
      </c>
      <c r="H120" t="s">
        <v>134</v>
      </c>
      <c r="I120" t="s">
        <v>315</v>
      </c>
      <c r="J120" t="s">
        <v>83</v>
      </c>
      <c r="K120" s="1">
        <v>45575</v>
      </c>
      <c r="L120" t="s">
        <v>83</v>
      </c>
      <c r="M120">
        <f t="shared" si="4"/>
        <v>1</v>
      </c>
      <c r="N120" s="16">
        <f t="shared" si="6"/>
        <v>1</v>
      </c>
      <c r="O120" t="str">
        <f t="shared" si="7"/>
        <v>On Time</v>
      </c>
      <c r="P120" t="s">
        <v>364</v>
      </c>
    </row>
    <row r="121" spans="1:16" x14ac:dyDescent="0.35">
      <c r="A121" s="1">
        <v>45574</v>
      </c>
      <c r="B121" s="1" t="str">
        <f t="shared" si="5"/>
        <v>October-2024</v>
      </c>
      <c r="C121" t="s">
        <v>121</v>
      </c>
      <c r="D121" t="s">
        <v>108</v>
      </c>
      <c r="E121" t="s">
        <v>85</v>
      </c>
      <c r="F121" s="4">
        <v>150</v>
      </c>
      <c r="G121" t="s">
        <v>81</v>
      </c>
      <c r="H121" t="s">
        <v>134</v>
      </c>
      <c r="I121" t="s">
        <v>315</v>
      </c>
      <c r="J121" t="s">
        <v>83</v>
      </c>
      <c r="K121" s="1">
        <v>45575</v>
      </c>
      <c r="L121" t="s">
        <v>83</v>
      </c>
      <c r="M121">
        <f t="shared" si="4"/>
        <v>1</v>
      </c>
      <c r="N121" s="16">
        <f t="shared" si="6"/>
        <v>1</v>
      </c>
      <c r="O121" t="str">
        <f t="shared" si="7"/>
        <v>On Time</v>
      </c>
      <c r="P121" t="s">
        <v>364</v>
      </c>
    </row>
    <row r="122" spans="1:16" x14ac:dyDescent="0.35">
      <c r="A122" s="1">
        <v>45574</v>
      </c>
      <c r="B122" s="1" t="str">
        <f t="shared" si="5"/>
        <v>October-2024</v>
      </c>
      <c r="C122" t="s">
        <v>122</v>
      </c>
      <c r="D122" t="s">
        <v>108</v>
      </c>
      <c r="E122" t="s">
        <v>85</v>
      </c>
      <c r="F122" s="4">
        <v>110</v>
      </c>
      <c r="G122" t="s">
        <v>81</v>
      </c>
      <c r="H122" t="s">
        <v>89</v>
      </c>
      <c r="I122" t="s">
        <v>315</v>
      </c>
      <c r="J122" t="s">
        <v>83</v>
      </c>
      <c r="K122" s="1">
        <v>45576</v>
      </c>
      <c r="L122" t="s">
        <v>83</v>
      </c>
      <c r="M122">
        <f t="shared" si="4"/>
        <v>2</v>
      </c>
      <c r="N122" s="16">
        <f t="shared" si="6"/>
        <v>1.7</v>
      </c>
      <c r="O122" t="str">
        <f t="shared" si="7"/>
        <v>Delayed</v>
      </c>
      <c r="P122" t="s">
        <v>364</v>
      </c>
    </row>
    <row r="123" spans="1:16" x14ac:dyDescent="0.35">
      <c r="A123" s="1">
        <v>45574</v>
      </c>
      <c r="B123" s="1" t="str">
        <f t="shared" si="5"/>
        <v>October-2024</v>
      </c>
      <c r="C123" t="s">
        <v>123</v>
      </c>
      <c r="D123" t="s">
        <v>108</v>
      </c>
      <c r="E123" t="s">
        <v>85</v>
      </c>
      <c r="F123" s="4">
        <v>150</v>
      </c>
      <c r="G123" t="s">
        <v>81</v>
      </c>
      <c r="H123" t="s">
        <v>135</v>
      </c>
      <c r="I123" t="s">
        <v>315</v>
      </c>
      <c r="J123" t="s">
        <v>83</v>
      </c>
      <c r="K123" s="1">
        <v>45580</v>
      </c>
      <c r="L123" t="s">
        <v>83</v>
      </c>
      <c r="M123">
        <f t="shared" si="4"/>
        <v>6</v>
      </c>
      <c r="N123" s="16">
        <f t="shared" si="6"/>
        <v>6</v>
      </c>
      <c r="O123" t="str">
        <f t="shared" si="7"/>
        <v>On Time</v>
      </c>
      <c r="P123" t="s">
        <v>364</v>
      </c>
    </row>
    <row r="124" spans="1:16" x14ac:dyDescent="0.35">
      <c r="A124" s="1">
        <v>45574</v>
      </c>
      <c r="B124" s="1" t="str">
        <f t="shared" si="5"/>
        <v>October-2024</v>
      </c>
      <c r="C124" t="s">
        <v>139</v>
      </c>
      <c r="D124" t="s">
        <v>142</v>
      </c>
      <c r="E124" t="s">
        <v>85</v>
      </c>
      <c r="F124" s="4">
        <v>390</v>
      </c>
      <c r="G124" t="s">
        <v>81</v>
      </c>
      <c r="H124" t="s">
        <v>140</v>
      </c>
      <c r="I124" t="s">
        <v>315</v>
      </c>
      <c r="J124" t="s">
        <v>141</v>
      </c>
      <c r="K124" s="1">
        <v>45579</v>
      </c>
      <c r="L124" t="s">
        <v>83</v>
      </c>
      <c r="M124">
        <f t="shared" si="4"/>
        <v>5</v>
      </c>
      <c r="N124" s="16">
        <f t="shared" si="6"/>
        <v>5</v>
      </c>
      <c r="O124" t="str">
        <f t="shared" si="7"/>
        <v>On Time</v>
      </c>
      <c r="P124" t="s">
        <v>364</v>
      </c>
    </row>
    <row r="125" spans="1:16" x14ac:dyDescent="0.35">
      <c r="A125" s="1">
        <v>45575</v>
      </c>
      <c r="B125" s="1" t="str">
        <f t="shared" si="5"/>
        <v>October-2024</v>
      </c>
      <c r="C125" t="s">
        <v>124</v>
      </c>
      <c r="D125" t="s">
        <v>108</v>
      </c>
      <c r="E125" t="s">
        <v>85</v>
      </c>
      <c r="F125" s="4">
        <v>370</v>
      </c>
      <c r="G125" t="s">
        <v>81</v>
      </c>
      <c r="H125" t="s">
        <v>136</v>
      </c>
      <c r="I125" t="s">
        <v>315</v>
      </c>
      <c r="J125" t="s">
        <v>94</v>
      </c>
      <c r="K125" s="1">
        <v>45579</v>
      </c>
      <c r="L125" t="s">
        <v>83</v>
      </c>
      <c r="M125">
        <f t="shared" si="4"/>
        <v>4</v>
      </c>
      <c r="N125" s="16">
        <f t="shared" si="6"/>
        <v>3.5</v>
      </c>
      <c r="O125" t="str">
        <f t="shared" si="7"/>
        <v>Delayed</v>
      </c>
      <c r="P125" t="s">
        <v>365</v>
      </c>
    </row>
    <row r="126" spans="1:16" x14ac:dyDescent="0.35">
      <c r="A126" s="1">
        <v>45575</v>
      </c>
      <c r="B126" s="1" t="str">
        <f t="shared" si="5"/>
        <v>October-2024</v>
      </c>
      <c r="C126" t="s">
        <v>125</v>
      </c>
      <c r="D126" t="s">
        <v>108</v>
      </c>
      <c r="E126" t="s">
        <v>85</v>
      </c>
      <c r="F126" s="4">
        <v>480</v>
      </c>
      <c r="G126" t="s">
        <v>81</v>
      </c>
      <c r="H126" t="s">
        <v>97</v>
      </c>
      <c r="I126" t="s">
        <v>315</v>
      </c>
      <c r="J126" t="s">
        <v>83</v>
      </c>
      <c r="K126" s="1">
        <v>45578</v>
      </c>
      <c r="L126" t="s">
        <v>83</v>
      </c>
      <c r="M126">
        <f t="shared" si="4"/>
        <v>3</v>
      </c>
      <c r="N126" s="16">
        <f t="shared" si="6"/>
        <v>3.6</v>
      </c>
      <c r="O126" t="str">
        <f t="shared" si="7"/>
        <v>On Time</v>
      </c>
      <c r="P126" t="s">
        <v>365</v>
      </c>
    </row>
    <row r="127" spans="1:16" x14ac:dyDescent="0.35">
      <c r="A127" s="1">
        <v>45575</v>
      </c>
      <c r="B127" s="1" t="str">
        <f t="shared" si="5"/>
        <v>October-2024</v>
      </c>
      <c r="C127" t="s">
        <v>126</v>
      </c>
      <c r="D127" t="s">
        <v>108</v>
      </c>
      <c r="E127" t="s">
        <v>85</v>
      </c>
      <c r="F127" s="4">
        <v>90</v>
      </c>
      <c r="G127" t="s">
        <v>81</v>
      </c>
      <c r="H127" t="s">
        <v>88</v>
      </c>
      <c r="I127" t="s">
        <v>315</v>
      </c>
      <c r="J127" t="s">
        <v>83</v>
      </c>
      <c r="K127" s="1">
        <v>45579</v>
      </c>
      <c r="L127" t="s">
        <v>83</v>
      </c>
      <c r="M127">
        <f t="shared" si="4"/>
        <v>4</v>
      </c>
      <c r="N127" s="16">
        <f t="shared" si="6"/>
        <v>2.406779661016949</v>
      </c>
      <c r="O127" t="str">
        <f t="shared" si="7"/>
        <v>Delayed</v>
      </c>
      <c r="P127" t="s">
        <v>365</v>
      </c>
    </row>
    <row r="128" spans="1:16" x14ac:dyDescent="0.35">
      <c r="A128" s="1">
        <v>45575</v>
      </c>
      <c r="B128" s="1" t="str">
        <f t="shared" si="5"/>
        <v>October-2024</v>
      </c>
      <c r="C128" t="s">
        <v>127</v>
      </c>
      <c r="D128" t="s">
        <v>108</v>
      </c>
      <c r="E128" t="s">
        <v>85</v>
      </c>
      <c r="F128" s="4">
        <v>540</v>
      </c>
      <c r="G128" t="s">
        <v>81</v>
      </c>
      <c r="H128" t="s">
        <v>137</v>
      </c>
      <c r="I128" t="s">
        <v>315</v>
      </c>
      <c r="J128" t="s">
        <v>83</v>
      </c>
      <c r="K128" s="1">
        <v>45579</v>
      </c>
      <c r="L128" t="s">
        <v>83</v>
      </c>
      <c r="M128">
        <f t="shared" si="4"/>
        <v>4</v>
      </c>
      <c r="N128" s="16">
        <f t="shared" si="6"/>
        <v>4</v>
      </c>
      <c r="O128" t="str">
        <f t="shared" si="7"/>
        <v>On Time</v>
      </c>
      <c r="P128" t="s">
        <v>365</v>
      </c>
    </row>
    <row r="129" spans="1:16" x14ac:dyDescent="0.35">
      <c r="A129" s="1">
        <v>45575</v>
      </c>
      <c r="B129" s="1" t="str">
        <f t="shared" si="5"/>
        <v>October-2024</v>
      </c>
      <c r="C129" t="s">
        <v>128</v>
      </c>
      <c r="D129" t="s">
        <v>108</v>
      </c>
      <c r="E129" t="s">
        <v>85</v>
      </c>
      <c r="F129" s="4">
        <v>240</v>
      </c>
      <c r="G129" t="s">
        <v>81</v>
      </c>
      <c r="H129" t="s">
        <v>138</v>
      </c>
      <c r="I129" t="s">
        <v>315</v>
      </c>
      <c r="J129" t="s">
        <v>83</v>
      </c>
      <c r="K129" s="1">
        <v>45580</v>
      </c>
      <c r="L129" t="s">
        <v>83</v>
      </c>
      <c r="M129">
        <f t="shared" si="4"/>
        <v>5</v>
      </c>
      <c r="N129" s="16">
        <f t="shared" si="6"/>
        <v>5</v>
      </c>
      <c r="O129" t="str">
        <f t="shared" si="7"/>
        <v>On Time</v>
      </c>
      <c r="P129" t="s">
        <v>365</v>
      </c>
    </row>
    <row r="130" spans="1:16" x14ac:dyDescent="0.35">
      <c r="A130" s="1">
        <v>45576</v>
      </c>
      <c r="B130" s="1" t="str">
        <f t="shared" si="5"/>
        <v>October-2024</v>
      </c>
      <c r="C130" t="s">
        <v>279</v>
      </c>
      <c r="D130" t="s">
        <v>108</v>
      </c>
      <c r="E130" t="s">
        <v>85</v>
      </c>
      <c r="F130" s="4">
        <v>670</v>
      </c>
      <c r="G130" t="s">
        <v>81</v>
      </c>
      <c r="H130" t="s">
        <v>87</v>
      </c>
      <c r="I130" t="s">
        <v>314</v>
      </c>
      <c r="J130" t="s">
        <v>83</v>
      </c>
      <c r="K130" s="1">
        <v>45582</v>
      </c>
      <c r="L130" t="s">
        <v>83</v>
      </c>
      <c r="M130">
        <f t="shared" ref="M130:M193" si="8">IF(E130="Delivered",K130-A130,"")</f>
        <v>6</v>
      </c>
      <c r="N130" s="16">
        <f t="shared" si="6"/>
        <v>3.5185185185185186</v>
      </c>
      <c r="O130" t="str">
        <f t="shared" si="7"/>
        <v>Delayed</v>
      </c>
      <c r="P130" t="s">
        <v>366</v>
      </c>
    </row>
    <row r="131" spans="1:16" x14ac:dyDescent="0.35">
      <c r="A131" s="1">
        <v>45576</v>
      </c>
      <c r="B131" s="1" t="str">
        <f t="shared" ref="B131:B194" si="9">TEXT(A131,"mmmm-yyyy")</f>
        <v>October-2024</v>
      </c>
      <c r="C131" t="s">
        <v>300</v>
      </c>
      <c r="D131" t="s">
        <v>142</v>
      </c>
      <c r="E131" t="s">
        <v>85</v>
      </c>
      <c r="F131" s="4">
        <v>250</v>
      </c>
      <c r="G131" t="s">
        <v>81</v>
      </c>
      <c r="H131" t="s">
        <v>130</v>
      </c>
      <c r="I131" t="s">
        <v>315</v>
      </c>
      <c r="J131" t="s">
        <v>83</v>
      </c>
      <c r="K131" s="1">
        <v>45579</v>
      </c>
      <c r="L131" t="s">
        <v>83</v>
      </c>
      <c r="M131">
        <f t="shared" si="8"/>
        <v>3</v>
      </c>
      <c r="N131" s="16">
        <f t="shared" ref="N131:N194" si="10">AVERAGEIF(H:H,H131,M:M)</f>
        <v>1.5</v>
      </c>
      <c r="O131" t="str">
        <f t="shared" ref="O131:O194" si="11">IF(M131&gt;N131,"Delayed","On Time")</f>
        <v>Delayed</v>
      </c>
      <c r="P131" t="s">
        <v>366</v>
      </c>
    </row>
    <row r="132" spans="1:16" x14ac:dyDescent="0.35">
      <c r="A132" s="1">
        <v>45577</v>
      </c>
      <c r="B132" s="1" t="str">
        <f t="shared" si="9"/>
        <v>October-2024</v>
      </c>
      <c r="C132" t="s">
        <v>280</v>
      </c>
      <c r="D132" t="s">
        <v>108</v>
      </c>
      <c r="E132" t="s">
        <v>85</v>
      </c>
      <c r="F132" s="4">
        <v>610</v>
      </c>
      <c r="G132" t="s">
        <v>81</v>
      </c>
      <c r="H132" t="s">
        <v>89</v>
      </c>
      <c r="I132" t="s">
        <v>314</v>
      </c>
      <c r="J132" t="s">
        <v>83</v>
      </c>
      <c r="K132" s="1">
        <v>45579</v>
      </c>
      <c r="L132" t="s">
        <v>83</v>
      </c>
      <c r="M132">
        <f t="shared" si="8"/>
        <v>2</v>
      </c>
      <c r="N132" s="16">
        <f t="shared" si="10"/>
        <v>1.7</v>
      </c>
      <c r="O132" t="str">
        <f t="shared" si="11"/>
        <v>Delayed</v>
      </c>
      <c r="P132" t="s">
        <v>367</v>
      </c>
    </row>
    <row r="133" spans="1:16" x14ac:dyDescent="0.35">
      <c r="A133" s="1">
        <v>45577</v>
      </c>
      <c r="B133" s="1" t="str">
        <f t="shared" si="9"/>
        <v>October-2024</v>
      </c>
      <c r="C133" t="s">
        <v>281</v>
      </c>
      <c r="D133" t="s">
        <v>108</v>
      </c>
      <c r="E133" t="s">
        <v>85</v>
      </c>
      <c r="F133" s="4">
        <v>710</v>
      </c>
      <c r="G133" t="s">
        <v>81</v>
      </c>
      <c r="H133" t="s">
        <v>282</v>
      </c>
      <c r="I133" t="s">
        <v>314</v>
      </c>
      <c r="J133" t="s">
        <v>83</v>
      </c>
      <c r="K133" s="1">
        <v>45583</v>
      </c>
      <c r="L133" t="s">
        <v>83</v>
      </c>
      <c r="M133">
        <f t="shared" si="8"/>
        <v>6</v>
      </c>
      <c r="N133" s="16">
        <f t="shared" si="10"/>
        <v>6</v>
      </c>
      <c r="O133" t="str">
        <f t="shared" si="11"/>
        <v>On Time</v>
      </c>
      <c r="P133" t="s">
        <v>367</v>
      </c>
    </row>
    <row r="134" spans="1:16" x14ac:dyDescent="0.35">
      <c r="A134" s="1">
        <v>45577</v>
      </c>
      <c r="B134" s="1" t="str">
        <f t="shared" si="9"/>
        <v>October-2024</v>
      </c>
      <c r="C134" t="s">
        <v>15</v>
      </c>
      <c r="D134" t="s">
        <v>108</v>
      </c>
      <c r="E134" t="s">
        <v>85</v>
      </c>
      <c r="F134" s="4">
        <v>140</v>
      </c>
      <c r="G134" t="s">
        <v>81</v>
      </c>
      <c r="H134" t="s">
        <v>82</v>
      </c>
      <c r="I134" t="s">
        <v>315</v>
      </c>
      <c r="J134" t="s">
        <v>83</v>
      </c>
      <c r="K134" s="1">
        <v>45579</v>
      </c>
      <c r="L134" t="s">
        <v>83</v>
      </c>
      <c r="M134">
        <f t="shared" si="8"/>
        <v>2</v>
      </c>
      <c r="N134" s="16">
        <f t="shared" si="10"/>
        <v>2</v>
      </c>
      <c r="O134" t="str">
        <f t="shared" si="11"/>
        <v>On Time</v>
      </c>
      <c r="P134" t="s">
        <v>367</v>
      </c>
    </row>
    <row r="135" spans="1:16" x14ac:dyDescent="0.35">
      <c r="A135" s="1">
        <v>45577</v>
      </c>
      <c r="B135" s="1" t="str">
        <f t="shared" si="9"/>
        <v>October-2024</v>
      </c>
      <c r="C135" t="s">
        <v>16</v>
      </c>
      <c r="D135" t="s">
        <v>108</v>
      </c>
      <c r="E135" t="s">
        <v>85</v>
      </c>
      <c r="F135" s="4">
        <v>130</v>
      </c>
      <c r="G135" t="s">
        <v>81</v>
      </c>
      <c r="H135" t="s">
        <v>86</v>
      </c>
      <c r="I135" t="s">
        <v>315</v>
      </c>
      <c r="J135" t="s">
        <v>83</v>
      </c>
      <c r="K135" s="1">
        <v>45580</v>
      </c>
      <c r="L135" t="s">
        <v>83</v>
      </c>
      <c r="M135">
        <f t="shared" si="8"/>
        <v>3</v>
      </c>
      <c r="N135" s="16">
        <f t="shared" si="10"/>
        <v>2.1428571428571428</v>
      </c>
      <c r="O135" t="str">
        <f t="shared" si="11"/>
        <v>Delayed</v>
      </c>
      <c r="P135" t="s">
        <v>367</v>
      </c>
    </row>
    <row r="136" spans="1:16" x14ac:dyDescent="0.35">
      <c r="A136" s="1">
        <v>45577</v>
      </c>
      <c r="B136" s="1" t="str">
        <f t="shared" si="9"/>
        <v>October-2024</v>
      </c>
      <c r="C136" t="s">
        <v>301</v>
      </c>
      <c r="D136" t="s">
        <v>142</v>
      </c>
      <c r="E136" t="s">
        <v>85</v>
      </c>
      <c r="F136" s="4">
        <v>370</v>
      </c>
      <c r="G136" t="s">
        <v>81</v>
      </c>
      <c r="H136" t="s">
        <v>89</v>
      </c>
      <c r="I136" t="s">
        <v>315</v>
      </c>
      <c r="J136" t="s">
        <v>83</v>
      </c>
      <c r="K136" s="1">
        <v>45579</v>
      </c>
      <c r="L136" t="s">
        <v>83</v>
      </c>
      <c r="M136">
        <f t="shared" si="8"/>
        <v>2</v>
      </c>
      <c r="N136" s="16">
        <f t="shared" si="10"/>
        <v>1.7</v>
      </c>
      <c r="O136" t="str">
        <f t="shared" si="11"/>
        <v>Delayed</v>
      </c>
      <c r="P136" t="s">
        <v>367</v>
      </c>
    </row>
    <row r="137" spans="1:16" x14ac:dyDescent="0.35">
      <c r="A137" s="1">
        <v>45578</v>
      </c>
      <c r="B137" s="1" t="str">
        <f t="shared" si="9"/>
        <v>October-2024</v>
      </c>
      <c r="C137" t="s">
        <v>17</v>
      </c>
      <c r="D137" t="s">
        <v>108</v>
      </c>
      <c r="E137" t="s">
        <v>85</v>
      </c>
      <c r="F137" s="4">
        <v>170</v>
      </c>
      <c r="G137" t="s">
        <v>81</v>
      </c>
      <c r="H137" t="s">
        <v>87</v>
      </c>
      <c r="I137" t="s">
        <v>315</v>
      </c>
      <c r="J137" t="s">
        <v>83</v>
      </c>
      <c r="K137" s="1">
        <v>45581</v>
      </c>
      <c r="L137" t="s">
        <v>83</v>
      </c>
      <c r="M137">
        <f t="shared" si="8"/>
        <v>3</v>
      </c>
      <c r="N137" s="16">
        <f t="shared" si="10"/>
        <v>3.5185185185185186</v>
      </c>
      <c r="O137" t="str">
        <f t="shared" si="11"/>
        <v>On Time</v>
      </c>
      <c r="P137" t="s">
        <v>361</v>
      </c>
    </row>
    <row r="138" spans="1:16" x14ac:dyDescent="0.35">
      <c r="A138" s="1">
        <v>45579</v>
      </c>
      <c r="B138" s="1" t="str">
        <f t="shared" si="9"/>
        <v>October-2024</v>
      </c>
      <c r="C138" t="s">
        <v>18</v>
      </c>
      <c r="D138" t="s">
        <v>108</v>
      </c>
      <c r="E138" t="s">
        <v>85</v>
      </c>
      <c r="F138" s="4">
        <v>140</v>
      </c>
      <c r="G138" t="s">
        <v>81</v>
      </c>
      <c r="H138" t="s">
        <v>87</v>
      </c>
      <c r="I138" t="s">
        <v>315</v>
      </c>
      <c r="J138" t="s">
        <v>83</v>
      </c>
      <c r="K138" s="1">
        <v>45581</v>
      </c>
      <c r="L138" t="s">
        <v>83</v>
      </c>
      <c r="M138">
        <f t="shared" si="8"/>
        <v>2</v>
      </c>
      <c r="N138" s="16">
        <f t="shared" si="10"/>
        <v>3.5185185185185186</v>
      </c>
      <c r="O138" t="str">
        <f t="shared" si="11"/>
        <v>On Time</v>
      </c>
      <c r="P138" t="s">
        <v>362</v>
      </c>
    </row>
    <row r="139" spans="1:16" x14ac:dyDescent="0.35">
      <c r="A139" s="1">
        <v>45579</v>
      </c>
      <c r="B139" s="1" t="str">
        <f t="shared" si="9"/>
        <v>October-2024</v>
      </c>
      <c r="C139" t="s">
        <v>19</v>
      </c>
      <c r="D139" t="s">
        <v>108</v>
      </c>
      <c r="E139" t="s">
        <v>85</v>
      </c>
      <c r="F139" s="4">
        <v>140</v>
      </c>
      <c r="G139" t="s">
        <v>81</v>
      </c>
      <c r="H139" t="s">
        <v>87</v>
      </c>
      <c r="I139" t="s">
        <v>315</v>
      </c>
      <c r="J139" t="s">
        <v>83</v>
      </c>
      <c r="K139" s="1">
        <v>45581</v>
      </c>
      <c r="L139" t="s">
        <v>83</v>
      </c>
      <c r="M139">
        <f t="shared" si="8"/>
        <v>2</v>
      </c>
      <c r="N139" s="16">
        <f t="shared" si="10"/>
        <v>3.5185185185185186</v>
      </c>
      <c r="O139" t="str">
        <f t="shared" si="11"/>
        <v>On Time</v>
      </c>
      <c r="P139" t="s">
        <v>362</v>
      </c>
    </row>
    <row r="140" spans="1:16" x14ac:dyDescent="0.35">
      <c r="A140" s="1">
        <v>45579</v>
      </c>
      <c r="B140" s="1" t="str">
        <f t="shared" si="9"/>
        <v>October-2024</v>
      </c>
      <c r="C140" t="s">
        <v>20</v>
      </c>
      <c r="D140" t="s">
        <v>108</v>
      </c>
      <c r="E140" t="s">
        <v>85</v>
      </c>
      <c r="F140" s="4">
        <v>170</v>
      </c>
      <c r="G140" t="s">
        <v>81</v>
      </c>
      <c r="H140" t="s">
        <v>87</v>
      </c>
      <c r="I140" t="s">
        <v>315</v>
      </c>
      <c r="J140" t="s">
        <v>83</v>
      </c>
      <c r="K140" s="1">
        <v>45581</v>
      </c>
      <c r="L140" t="s">
        <v>83</v>
      </c>
      <c r="M140">
        <f t="shared" si="8"/>
        <v>2</v>
      </c>
      <c r="N140" s="16">
        <f t="shared" si="10"/>
        <v>3.5185185185185186</v>
      </c>
      <c r="O140" t="str">
        <f t="shared" si="11"/>
        <v>On Time</v>
      </c>
      <c r="P140" t="s">
        <v>362</v>
      </c>
    </row>
    <row r="141" spans="1:16" x14ac:dyDescent="0.35">
      <c r="A141" s="1">
        <v>45579</v>
      </c>
      <c r="B141" s="1" t="str">
        <f t="shared" si="9"/>
        <v>October-2024</v>
      </c>
      <c r="C141" t="s">
        <v>21</v>
      </c>
      <c r="D141" t="s">
        <v>108</v>
      </c>
      <c r="E141" t="s">
        <v>85</v>
      </c>
      <c r="F141" s="4">
        <v>70</v>
      </c>
      <c r="G141" t="s">
        <v>81</v>
      </c>
      <c r="H141" t="s">
        <v>88</v>
      </c>
      <c r="I141" t="s">
        <v>315</v>
      </c>
      <c r="J141" t="s">
        <v>83</v>
      </c>
      <c r="K141" s="1">
        <v>45580</v>
      </c>
      <c r="L141" t="s">
        <v>83</v>
      </c>
      <c r="M141">
        <f t="shared" si="8"/>
        <v>1</v>
      </c>
      <c r="N141" s="16">
        <f t="shared" si="10"/>
        <v>2.406779661016949</v>
      </c>
      <c r="O141" t="str">
        <f t="shared" si="11"/>
        <v>On Time</v>
      </c>
      <c r="P141" t="s">
        <v>362</v>
      </c>
    </row>
    <row r="142" spans="1:16" x14ac:dyDescent="0.35">
      <c r="A142" s="1">
        <v>45579</v>
      </c>
      <c r="B142" s="1" t="str">
        <f t="shared" si="9"/>
        <v>October-2024</v>
      </c>
      <c r="C142" t="s">
        <v>22</v>
      </c>
      <c r="D142" t="s">
        <v>108</v>
      </c>
      <c r="E142" t="s">
        <v>85</v>
      </c>
      <c r="F142" s="4">
        <v>70</v>
      </c>
      <c r="G142" t="s">
        <v>81</v>
      </c>
      <c r="H142" t="s">
        <v>88</v>
      </c>
      <c r="I142" t="s">
        <v>315</v>
      </c>
      <c r="J142" t="s">
        <v>83</v>
      </c>
      <c r="K142" s="1">
        <v>45580</v>
      </c>
      <c r="L142" t="s">
        <v>83</v>
      </c>
      <c r="M142">
        <f t="shared" si="8"/>
        <v>1</v>
      </c>
      <c r="N142" s="16">
        <f t="shared" si="10"/>
        <v>2.406779661016949</v>
      </c>
      <c r="O142" t="str">
        <f t="shared" si="11"/>
        <v>On Time</v>
      </c>
      <c r="P142" t="s">
        <v>362</v>
      </c>
    </row>
    <row r="143" spans="1:16" x14ac:dyDescent="0.35">
      <c r="A143" s="1">
        <v>45579</v>
      </c>
      <c r="B143" s="1" t="str">
        <f t="shared" si="9"/>
        <v>October-2024</v>
      </c>
      <c r="C143" t="s">
        <v>23</v>
      </c>
      <c r="D143" t="s">
        <v>108</v>
      </c>
      <c r="E143" t="s">
        <v>85</v>
      </c>
      <c r="F143" s="4">
        <v>70</v>
      </c>
      <c r="G143" t="s">
        <v>81</v>
      </c>
      <c r="H143" t="s">
        <v>88</v>
      </c>
      <c r="I143" t="s">
        <v>315</v>
      </c>
      <c r="J143" t="s">
        <v>83</v>
      </c>
      <c r="K143" s="1">
        <v>45580</v>
      </c>
      <c r="L143" t="s">
        <v>83</v>
      </c>
      <c r="M143">
        <f t="shared" si="8"/>
        <v>1</v>
      </c>
      <c r="N143" s="16">
        <f t="shared" si="10"/>
        <v>2.406779661016949</v>
      </c>
      <c r="O143" t="str">
        <f t="shared" si="11"/>
        <v>On Time</v>
      </c>
      <c r="P143" t="s">
        <v>362</v>
      </c>
    </row>
    <row r="144" spans="1:16" x14ac:dyDescent="0.35">
      <c r="A144" s="1">
        <v>45579</v>
      </c>
      <c r="B144" s="1" t="str">
        <f t="shared" si="9"/>
        <v>October-2024</v>
      </c>
      <c r="C144" t="s">
        <v>24</v>
      </c>
      <c r="D144" t="s">
        <v>108</v>
      </c>
      <c r="E144" t="s">
        <v>85</v>
      </c>
      <c r="F144" s="4">
        <v>90</v>
      </c>
      <c r="G144" t="s">
        <v>81</v>
      </c>
      <c r="H144" t="s">
        <v>88</v>
      </c>
      <c r="I144" t="s">
        <v>315</v>
      </c>
      <c r="J144" t="s">
        <v>83</v>
      </c>
      <c r="K144" s="1">
        <v>45580</v>
      </c>
      <c r="L144" t="s">
        <v>83</v>
      </c>
      <c r="M144">
        <f t="shared" si="8"/>
        <v>1</v>
      </c>
      <c r="N144" s="16">
        <f t="shared" si="10"/>
        <v>2.406779661016949</v>
      </c>
      <c r="O144" t="str">
        <f t="shared" si="11"/>
        <v>On Time</v>
      </c>
      <c r="P144" t="s">
        <v>362</v>
      </c>
    </row>
    <row r="145" spans="1:16" x14ac:dyDescent="0.35">
      <c r="A145" s="1">
        <v>45579</v>
      </c>
      <c r="B145" s="1" t="str">
        <f t="shared" si="9"/>
        <v>October-2024</v>
      </c>
      <c r="C145" t="s">
        <v>25</v>
      </c>
      <c r="D145" t="s">
        <v>108</v>
      </c>
      <c r="E145" t="s">
        <v>85</v>
      </c>
      <c r="F145" s="4">
        <v>70</v>
      </c>
      <c r="G145" t="s">
        <v>81</v>
      </c>
      <c r="H145" t="s">
        <v>88</v>
      </c>
      <c r="I145" t="s">
        <v>315</v>
      </c>
      <c r="J145" t="s">
        <v>83</v>
      </c>
      <c r="K145" s="1">
        <v>45580</v>
      </c>
      <c r="L145" t="s">
        <v>83</v>
      </c>
      <c r="M145">
        <f t="shared" si="8"/>
        <v>1</v>
      </c>
      <c r="N145" s="16">
        <f t="shared" si="10"/>
        <v>2.406779661016949</v>
      </c>
      <c r="O145" t="str">
        <f t="shared" si="11"/>
        <v>On Time</v>
      </c>
      <c r="P145" t="s">
        <v>362</v>
      </c>
    </row>
    <row r="146" spans="1:16" x14ac:dyDescent="0.35">
      <c r="A146" s="1">
        <v>45579</v>
      </c>
      <c r="B146" s="1" t="str">
        <f t="shared" si="9"/>
        <v>October-2024</v>
      </c>
      <c r="C146" t="s">
        <v>26</v>
      </c>
      <c r="D146" t="s">
        <v>108</v>
      </c>
      <c r="E146" t="s">
        <v>85</v>
      </c>
      <c r="F146" s="4">
        <v>90</v>
      </c>
      <c r="G146" t="s">
        <v>81</v>
      </c>
      <c r="H146" t="s">
        <v>88</v>
      </c>
      <c r="I146" t="s">
        <v>315</v>
      </c>
      <c r="J146" t="s">
        <v>83</v>
      </c>
      <c r="K146" s="1">
        <v>45580</v>
      </c>
      <c r="L146" t="s">
        <v>83</v>
      </c>
      <c r="M146">
        <f t="shared" si="8"/>
        <v>1</v>
      </c>
      <c r="N146" s="16">
        <f t="shared" si="10"/>
        <v>2.406779661016949</v>
      </c>
      <c r="O146" t="str">
        <f t="shared" si="11"/>
        <v>On Time</v>
      </c>
      <c r="P146" t="s">
        <v>362</v>
      </c>
    </row>
    <row r="147" spans="1:16" x14ac:dyDescent="0.35">
      <c r="A147" s="1">
        <v>45579</v>
      </c>
      <c r="B147" s="1" t="str">
        <f t="shared" si="9"/>
        <v>October-2024</v>
      </c>
      <c r="C147" t="s">
        <v>27</v>
      </c>
      <c r="D147" t="s">
        <v>108</v>
      </c>
      <c r="E147" t="s">
        <v>85</v>
      </c>
      <c r="F147" s="4">
        <v>90</v>
      </c>
      <c r="G147" t="s">
        <v>81</v>
      </c>
      <c r="H147" t="s">
        <v>88</v>
      </c>
      <c r="I147" t="s">
        <v>315</v>
      </c>
      <c r="J147" t="s">
        <v>83</v>
      </c>
      <c r="K147" s="1">
        <v>45580</v>
      </c>
      <c r="L147" t="s">
        <v>83</v>
      </c>
      <c r="M147">
        <f t="shared" si="8"/>
        <v>1</v>
      </c>
      <c r="N147" s="16">
        <f t="shared" si="10"/>
        <v>2.406779661016949</v>
      </c>
      <c r="O147" t="str">
        <f t="shared" si="11"/>
        <v>On Time</v>
      </c>
      <c r="P147" t="s">
        <v>362</v>
      </c>
    </row>
    <row r="148" spans="1:16" x14ac:dyDescent="0.35">
      <c r="A148" s="1">
        <v>45579</v>
      </c>
      <c r="B148" s="1" t="str">
        <f t="shared" si="9"/>
        <v>October-2024</v>
      </c>
      <c r="C148" t="s">
        <v>28</v>
      </c>
      <c r="D148" t="s">
        <v>108</v>
      </c>
      <c r="E148" t="s">
        <v>85</v>
      </c>
      <c r="F148" s="4">
        <v>90</v>
      </c>
      <c r="G148" t="s">
        <v>81</v>
      </c>
      <c r="H148" t="s">
        <v>88</v>
      </c>
      <c r="I148" t="s">
        <v>315</v>
      </c>
      <c r="J148" t="s">
        <v>83</v>
      </c>
      <c r="K148" s="1">
        <v>45580</v>
      </c>
      <c r="L148" t="s">
        <v>83</v>
      </c>
      <c r="M148">
        <f t="shared" si="8"/>
        <v>1</v>
      </c>
      <c r="N148" s="16">
        <f t="shared" si="10"/>
        <v>2.406779661016949</v>
      </c>
      <c r="O148" t="str">
        <f t="shared" si="11"/>
        <v>On Time</v>
      </c>
      <c r="P148" t="s">
        <v>362</v>
      </c>
    </row>
    <row r="149" spans="1:16" x14ac:dyDescent="0.35">
      <c r="A149" s="1">
        <v>45579</v>
      </c>
      <c r="B149" s="1" t="str">
        <f t="shared" si="9"/>
        <v>October-2024</v>
      </c>
      <c r="C149" t="s">
        <v>29</v>
      </c>
      <c r="D149" t="s">
        <v>108</v>
      </c>
      <c r="E149" t="s">
        <v>85</v>
      </c>
      <c r="F149" s="4">
        <v>90</v>
      </c>
      <c r="G149" t="s">
        <v>81</v>
      </c>
      <c r="H149" t="s">
        <v>88</v>
      </c>
      <c r="I149" t="s">
        <v>315</v>
      </c>
      <c r="J149" t="s">
        <v>83</v>
      </c>
      <c r="K149" s="1">
        <v>45580</v>
      </c>
      <c r="L149" t="s">
        <v>83</v>
      </c>
      <c r="M149">
        <f t="shared" si="8"/>
        <v>1</v>
      </c>
      <c r="N149" s="16">
        <f t="shared" si="10"/>
        <v>2.406779661016949</v>
      </c>
      <c r="O149" t="str">
        <f t="shared" si="11"/>
        <v>On Time</v>
      </c>
      <c r="P149" t="s">
        <v>362</v>
      </c>
    </row>
    <row r="150" spans="1:16" x14ac:dyDescent="0.35">
      <c r="A150" s="1">
        <v>45579</v>
      </c>
      <c r="B150" s="1" t="str">
        <f t="shared" si="9"/>
        <v>October-2024</v>
      </c>
      <c r="C150" t="s">
        <v>30</v>
      </c>
      <c r="D150" t="s">
        <v>108</v>
      </c>
      <c r="E150" t="s">
        <v>85</v>
      </c>
      <c r="F150" s="4">
        <v>90</v>
      </c>
      <c r="G150" t="s">
        <v>81</v>
      </c>
      <c r="H150" t="s">
        <v>88</v>
      </c>
      <c r="I150" t="s">
        <v>315</v>
      </c>
      <c r="J150" t="s">
        <v>83</v>
      </c>
      <c r="K150" s="1">
        <v>45580</v>
      </c>
      <c r="L150" t="s">
        <v>83</v>
      </c>
      <c r="M150">
        <f t="shared" si="8"/>
        <v>1</v>
      </c>
      <c r="N150" s="16">
        <f t="shared" si="10"/>
        <v>2.406779661016949</v>
      </c>
      <c r="O150" t="str">
        <f t="shared" si="11"/>
        <v>On Time</v>
      </c>
      <c r="P150" t="s">
        <v>362</v>
      </c>
    </row>
    <row r="151" spans="1:16" x14ac:dyDescent="0.35">
      <c r="A151" s="1">
        <v>45579</v>
      </c>
      <c r="B151" s="1" t="str">
        <f t="shared" si="9"/>
        <v>October-2024</v>
      </c>
      <c r="C151" t="s">
        <v>31</v>
      </c>
      <c r="D151" t="s">
        <v>108</v>
      </c>
      <c r="E151" t="s">
        <v>85</v>
      </c>
      <c r="F151" s="4">
        <v>110</v>
      </c>
      <c r="G151" t="s">
        <v>81</v>
      </c>
      <c r="H151" t="s">
        <v>89</v>
      </c>
      <c r="I151" t="s">
        <v>315</v>
      </c>
      <c r="J151" t="s">
        <v>83</v>
      </c>
      <c r="K151" s="1">
        <v>45580</v>
      </c>
      <c r="L151" t="s">
        <v>83</v>
      </c>
      <c r="M151">
        <f t="shared" si="8"/>
        <v>1</v>
      </c>
      <c r="N151" s="16">
        <f t="shared" si="10"/>
        <v>1.7</v>
      </c>
      <c r="O151" t="str">
        <f t="shared" si="11"/>
        <v>On Time</v>
      </c>
      <c r="P151" t="s">
        <v>362</v>
      </c>
    </row>
    <row r="152" spans="1:16" x14ac:dyDescent="0.35">
      <c r="A152" s="1">
        <v>45579</v>
      </c>
      <c r="B152" s="1" t="str">
        <f t="shared" si="9"/>
        <v>October-2024</v>
      </c>
      <c r="C152" t="s">
        <v>32</v>
      </c>
      <c r="D152" t="s">
        <v>108</v>
      </c>
      <c r="E152" t="s">
        <v>85</v>
      </c>
      <c r="F152" s="4">
        <v>90</v>
      </c>
      <c r="G152" t="s">
        <v>81</v>
      </c>
      <c r="H152" t="s">
        <v>88</v>
      </c>
      <c r="I152" t="s">
        <v>315</v>
      </c>
      <c r="J152" t="s">
        <v>83</v>
      </c>
      <c r="K152" s="1">
        <v>45580</v>
      </c>
      <c r="L152" t="s">
        <v>83</v>
      </c>
      <c r="M152">
        <f t="shared" si="8"/>
        <v>1</v>
      </c>
      <c r="N152" s="16">
        <f t="shared" si="10"/>
        <v>2.406779661016949</v>
      </c>
      <c r="O152" t="str">
        <f t="shared" si="11"/>
        <v>On Time</v>
      </c>
      <c r="P152" t="s">
        <v>362</v>
      </c>
    </row>
    <row r="153" spans="1:16" x14ac:dyDescent="0.35">
      <c r="A153" s="1">
        <v>45579</v>
      </c>
      <c r="B153" s="1" t="str">
        <f t="shared" si="9"/>
        <v>October-2024</v>
      </c>
      <c r="C153" t="s">
        <v>33</v>
      </c>
      <c r="D153" t="s">
        <v>108</v>
      </c>
      <c r="E153" t="s">
        <v>85</v>
      </c>
      <c r="F153" s="4">
        <v>70</v>
      </c>
      <c r="G153" t="s">
        <v>81</v>
      </c>
      <c r="H153" t="s">
        <v>88</v>
      </c>
      <c r="I153" t="s">
        <v>315</v>
      </c>
      <c r="J153" t="s">
        <v>83</v>
      </c>
      <c r="K153" s="1">
        <v>45580</v>
      </c>
      <c r="L153" t="s">
        <v>83</v>
      </c>
      <c r="M153">
        <f t="shared" si="8"/>
        <v>1</v>
      </c>
      <c r="N153" s="16">
        <f t="shared" si="10"/>
        <v>2.406779661016949</v>
      </c>
      <c r="O153" t="str">
        <f t="shared" si="11"/>
        <v>On Time</v>
      </c>
      <c r="P153" t="s">
        <v>362</v>
      </c>
    </row>
    <row r="154" spans="1:16" x14ac:dyDescent="0.35">
      <c r="A154" s="1">
        <v>45579</v>
      </c>
      <c r="B154" s="1" t="str">
        <f t="shared" si="9"/>
        <v>October-2024</v>
      </c>
      <c r="C154" t="s">
        <v>34</v>
      </c>
      <c r="D154" t="s">
        <v>108</v>
      </c>
      <c r="E154" t="s">
        <v>85</v>
      </c>
      <c r="F154" s="4">
        <v>90</v>
      </c>
      <c r="G154" t="s">
        <v>81</v>
      </c>
      <c r="H154" t="s">
        <v>88</v>
      </c>
      <c r="I154" t="s">
        <v>315</v>
      </c>
      <c r="J154" t="s">
        <v>83</v>
      </c>
      <c r="K154" s="1">
        <v>45580</v>
      </c>
      <c r="L154" t="s">
        <v>83</v>
      </c>
      <c r="M154">
        <f t="shared" si="8"/>
        <v>1</v>
      </c>
      <c r="N154" s="16">
        <f t="shared" si="10"/>
        <v>2.406779661016949</v>
      </c>
      <c r="O154" t="str">
        <f t="shared" si="11"/>
        <v>On Time</v>
      </c>
      <c r="P154" t="s">
        <v>362</v>
      </c>
    </row>
    <row r="155" spans="1:16" x14ac:dyDescent="0.35">
      <c r="A155" s="1">
        <v>45579</v>
      </c>
      <c r="B155" s="1" t="str">
        <f t="shared" si="9"/>
        <v>October-2024</v>
      </c>
      <c r="C155" t="s">
        <v>35</v>
      </c>
      <c r="D155" t="s">
        <v>108</v>
      </c>
      <c r="E155" t="s">
        <v>85</v>
      </c>
      <c r="F155" s="4">
        <v>90</v>
      </c>
      <c r="G155" t="s">
        <v>81</v>
      </c>
      <c r="H155" t="s">
        <v>88</v>
      </c>
      <c r="I155" t="s">
        <v>315</v>
      </c>
      <c r="J155" t="s">
        <v>83</v>
      </c>
      <c r="K155" s="1">
        <v>45580</v>
      </c>
      <c r="L155" t="s">
        <v>83</v>
      </c>
      <c r="M155">
        <f t="shared" si="8"/>
        <v>1</v>
      </c>
      <c r="N155" s="16">
        <f t="shared" si="10"/>
        <v>2.406779661016949</v>
      </c>
      <c r="O155" t="str">
        <f t="shared" si="11"/>
        <v>On Time</v>
      </c>
      <c r="P155" t="s">
        <v>362</v>
      </c>
    </row>
    <row r="156" spans="1:16" x14ac:dyDescent="0.35">
      <c r="A156" s="1">
        <v>45579</v>
      </c>
      <c r="B156" s="1" t="str">
        <f t="shared" si="9"/>
        <v>October-2024</v>
      </c>
      <c r="C156" t="s">
        <v>36</v>
      </c>
      <c r="D156" t="s">
        <v>108</v>
      </c>
      <c r="E156" t="s">
        <v>85</v>
      </c>
      <c r="F156" s="4">
        <v>90</v>
      </c>
      <c r="G156" t="s">
        <v>81</v>
      </c>
      <c r="H156" t="s">
        <v>88</v>
      </c>
      <c r="I156" t="s">
        <v>315</v>
      </c>
      <c r="J156" t="s">
        <v>83</v>
      </c>
      <c r="K156" s="1">
        <v>45580</v>
      </c>
      <c r="L156" t="s">
        <v>83</v>
      </c>
      <c r="M156">
        <f t="shared" si="8"/>
        <v>1</v>
      </c>
      <c r="N156" s="16">
        <f t="shared" si="10"/>
        <v>2.406779661016949</v>
      </c>
      <c r="O156" t="str">
        <f t="shared" si="11"/>
        <v>On Time</v>
      </c>
      <c r="P156" t="s">
        <v>362</v>
      </c>
    </row>
    <row r="157" spans="1:16" x14ac:dyDescent="0.35">
      <c r="A157" s="1">
        <v>45579</v>
      </c>
      <c r="B157" s="1" t="str">
        <f t="shared" si="9"/>
        <v>October-2024</v>
      </c>
      <c r="C157" t="s">
        <v>37</v>
      </c>
      <c r="D157" t="s">
        <v>108</v>
      </c>
      <c r="E157" t="s">
        <v>85</v>
      </c>
      <c r="F157" s="4">
        <v>90</v>
      </c>
      <c r="G157" t="s">
        <v>81</v>
      </c>
      <c r="H157" t="s">
        <v>88</v>
      </c>
      <c r="I157" t="s">
        <v>315</v>
      </c>
      <c r="J157" t="s">
        <v>83</v>
      </c>
      <c r="K157" s="1">
        <v>45580</v>
      </c>
      <c r="L157" t="s">
        <v>83</v>
      </c>
      <c r="M157">
        <f t="shared" si="8"/>
        <v>1</v>
      </c>
      <c r="N157" s="16">
        <f t="shared" si="10"/>
        <v>2.406779661016949</v>
      </c>
      <c r="O157" t="str">
        <f t="shared" si="11"/>
        <v>On Time</v>
      </c>
      <c r="P157" t="s">
        <v>362</v>
      </c>
    </row>
    <row r="158" spans="1:16" x14ac:dyDescent="0.35">
      <c r="A158" s="1">
        <v>45579</v>
      </c>
      <c r="B158" s="1" t="str">
        <f t="shared" si="9"/>
        <v>October-2024</v>
      </c>
      <c r="C158" t="s">
        <v>38</v>
      </c>
      <c r="D158" t="s">
        <v>108</v>
      </c>
      <c r="E158" t="s">
        <v>85</v>
      </c>
      <c r="F158" s="4">
        <v>70</v>
      </c>
      <c r="G158" t="s">
        <v>81</v>
      </c>
      <c r="H158" t="s">
        <v>90</v>
      </c>
      <c r="I158" t="s">
        <v>315</v>
      </c>
      <c r="J158" t="s">
        <v>83</v>
      </c>
      <c r="K158" s="1">
        <v>45580</v>
      </c>
      <c r="L158" t="s">
        <v>83</v>
      </c>
      <c r="M158">
        <f t="shared" si="8"/>
        <v>1</v>
      </c>
      <c r="N158" s="16">
        <f t="shared" si="10"/>
        <v>2.0555555555555554</v>
      </c>
      <c r="O158" t="str">
        <f t="shared" si="11"/>
        <v>On Time</v>
      </c>
      <c r="P158" t="s">
        <v>362</v>
      </c>
    </row>
    <row r="159" spans="1:16" x14ac:dyDescent="0.35">
      <c r="A159" s="1">
        <v>45579</v>
      </c>
      <c r="B159" s="1" t="str">
        <f t="shared" si="9"/>
        <v>October-2024</v>
      </c>
      <c r="C159" t="s">
        <v>39</v>
      </c>
      <c r="D159" t="s">
        <v>108</v>
      </c>
      <c r="E159" t="s">
        <v>85</v>
      </c>
      <c r="F159" s="4">
        <v>90</v>
      </c>
      <c r="G159" t="s">
        <v>81</v>
      </c>
      <c r="H159" t="s">
        <v>89</v>
      </c>
      <c r="I159" t="s">
        <v>315</v>
      </c>
      <c r="J159" t="s">
        <v>83</v>
      </c>
      <c r="K159" s="1">
        <v>45581</v>
      </c>
      <c r="L159" t="s">
        <v>83</v>
      </c>
      <c r="M159">
        <f t="shared" si="8"/>
        <v>2</v>
      </c>
      <c r="N159" s="16">
        <f t="shared" si="10"/>
        <v>1.7</v>
      </c>
      <c r="O159" t="str">
        <f t="shared" si="11"/>
        <v>Delayed</v>
      </c>
      <c r="P159" t="s">
        <v>362</v>
      </c>
    </row>
    <row r="160" spans="1:16" x14ac:dyDescent="0.35">
      <c r="A160" s="1">
        <v>45579</v>
      </c>
      <c r="B160" s="1" t="str">
        <f t="shared" si="9"/>
        <v>October-2024</v>
      </c>
      <c r="C160" t="s">
        <v>40</v>
      </c>
      <c r="D160" t="s">
        <v>108</v>
      </c>
      <c r="E160" t="s">
        <v>85</v>
      </c>
      <c r="F160" s="4">
        <v>70</v>
      </c>
      <c r="G160" t="s">
        <v>81</v>
      </c>
      <c r="H160" t="s">
        <v>88</v>
      </c>
      <c r="I160" t="s">
        <v>315</v>
      </c>
      <c r="J160" t="s">
        <v>83</v>
      </c>
      <c r="K160" s="1">
        <v>45580</v>
      </c>
      <c r="L160" t="s">
        <v>83</v>
      </c>
      <c r="M160">
        <f t="shared" si="8"/>
        <v>1</v>
      </c>
      <c r="N160" s="16">
        <f t="shared" si="10"/>
        <v>2.406779661016949</v>
      </c>
      <c r="O160" t="str">
        <f t="shared" si="11"/>
        <v>On Time</v>
      </c>
      <c r="P160" t="s">
        <v>362</v>
      </c>
    </row>
    <row r="161" spans="1:16" x14ac:dyDescent="0.35">
      <c r="A161" s="1">
        <v>45579</v>
      </c>
      <c r="B161" s="1" t="str">
        <f t="shared" si="9"/>
        <v>October-2024</v>
      </c>
      <c r="C161" t="s">
        <v>41</v>
      </c>
      <c r="D161" t="s">
        <v>108</v>
      </c>
      <c r="E161" t="s">
        <v>85</v>
      </c>
      <c r="F161" s="4">
        <v>70</v>
      </c>
      <c r="G161" t="s">
        <v>81</v>
      </c>
      <c r="H161" t="s">
        <v>88</v>
      </c>
      <c r="I161" t="s">
        <v>315</v>
      </c>
      <c r="J161" t="s">
        <v>83</v>
      </c>
      <c r="K161" s="1">
        <v>45580</v>
      </c>
      <c r="L161" t="s">
        <v>83</v>
      </c>
      <c r="M161">
        <f t="shared" si="8"/>
        <v>1</v>
      </c>
      <c r="N161" s="16">
        <f t="shared" si="10"/>
        <v>2.406779661016949</v>
      </c>
      <c r="O161" t="str">
        <f t="shared" si="11"/>
        <v>On Time</v>
      </c>
      <c r="P161" t="s">
        <v>362</v>
      </c>
    </row>
    <row r="162" spans="1:16" x14ac:dyDescent="0.35">
      <c r="A162" s="1">
        <v>45579</v>
      </c>
      <c r="B162" s="1" t="str">
        <f t="shared" si="9"/>
        <v>October-2024</v>
      </c>
      <c r="C162" t="s">
        <v>42</v>
      </c>
      <c r="D162" t="s">
        <v>108</v>
      </c>
      <c r="E162" t="s">
        <v>85</v>
      </c>
      <c r="F162" s="4">
        <v>90</v>
      </c>
      <c r="G162" t="s">
        <v>81</v>
      </c>
      <c r="H162" t="s">
        <v>88</v>
      </c>
      <c r="I162" t="s">
        <v>315</v>
      </c>
      <c r="J162" t="s">
        <v>83</v>
      </c>
      <c r="K162" s="1">
        <v>45580</v>
      </c>
      <c r="L162" t="s">
        <v>83</v>
      </c>
      <c r="M162">
        <f t="shared" si="8"/>
        <v>1</v>
      </c>
      <c r="N162" s="16">
        <f t="shared" si="10"/>
        <v>2.406779661016949</v>
      </c>
      <c r="O162" t="str">
        <f t="shared" si="11"/>
        <v>On Time</v>
      </c>
      <c r="P162" t="s">
        <v>362</v>
      </c>
    </row>
    <row r="163" spans="1:16" x14ac:dyDescent="0.35">
      <c r="A163" s="1">
        <v>45579</v>
      </c>
      <c r="B163" s="1" t="str">
        <f t="shared" si="9"/>
        <v>October-2024</v>
      </c>
      <c r="C163" t="s">
        <v>43</v>
      </c>
      <c r="D163" t="s">
        <v>108</v>
      </c>
      <c r="E163" t="s">
        <v>85</v>
      </c>
      <c r="F163" s="4">
        <v>120</v>
      </c>
      <c r="G163" t="s">
        <v>81</v>
      </c>
      <c r="H163" t="s">
        <v>90</v>
      </c>
      <c r="I163" t="s">
        <v>315</v>
      </c>
      <c r="J163" t="s">
        <v>83</v>
      </c>
      <c r="K163" s="1">
        <v>45580</v>
      </c>
      <c r="L163" t="s">
        <v>83</v>
      </c>
      <c r="M163">
        <f t="shared" si="8"/>
        <v>1</v>
      </c>
      <c r="N163" s="16">
        <f t="shared" si="10"/>
        <v>2.0555555555555554</v>
      </c>
      <c r="O163" t="str">
        <f t="shared" si="11"/>
        <v>On Time</v>
      </c>
      <c r="P163" t="s">
        <v>362</v>
      </c>
    </row>
    <row r="164" spans="1:16" x14ac:dyDescent="0.35">
      <c r="A164" s="1">
        <v>45579</v>
      </c>
      <c r="B164" s="1" t="str">
        <f t="shared" si="9"/>
        <v>October-2024</v>
      </c>
      <c r="C164" t="s">
        <v>44</v>
      </c>
      <c r="D164" t="s">
        <v>108</v>
      </c>
      <c r="E164" t="s">
        <v>85</v>
      </c>
      <c r="F164" s="4">
        <v>90</v>
      </c>
      <c r="G164" t="s">
        <v>81</v>
      </c>
      <c r="H164" t="s">
        <v>89</v>
      </c>
      <c r="I164" t="s">
        <v>315</v>
      </c>
      <c r="J164" t="s">
        <v>83</v>
      </c>
      <c r="K164" s="1">
        <v>45581</v>
      </c>
      <c r="L164" t="s">
        <v>83</v>
      </c>
      <c r="M164">
        <f t="shared" si="8"/>
        <v>2</v>
      </c>
      <c r="N164" s="16">
        <f t="shared" si="10"/>
        <v>1.7</v>
      </c>
      <c r="O164" t="str">
        <f t="shared" si="11"/>
        <v>Delayed</v>
      </c>
      <c r="P164" t="s">
        <v>362</v>
      </c>
    </row>
    <row r="165" spans="1:16" x14ac:dyDescent="0.35">
      <c r="A165" s="1">
        <v>45579</v>
      </c>
      <c r="B165" s="1" t="str">
        <f t="shared" si="9"/>
        <v>October-2024</v>
      </c>
      <c r="C165" t="s">
        <v>45</v>
      </c>
      <c r="D165" t="s">
        <v>108</v>
      </c>
      <c r="E165" t="s">
        <v>85</v>
      </c>
      <c r="F165" s="4">
        <v>140</v>
      </c>
      <c r="G165" t="s">
        <v>81</v>
      </c>
      <c r="H165" t="s">
        <v>91</v>
      </c>
      <c r="I165" t="s">
        <v>315</v>
      </c>
      <c r="J165" t="s">
        <v>83</v>
      </c>
      <c r="K165" s="1">
        <v>45581</v>
      </c>
      <c r="L165" t="s">
        <v>83</v>
      </c>
      <c r="M165">
        <f t="shared" si="8"/>
        <v>2</v>
      </c>
      <c r="N165" s="16">
        <f t="shared" si="10"/>
        <v>3.4</v>
      </c>
      <c r="O165" t="str">
        <f t="shared" si="11"/>
        <v>On Time</v>
      </c>
      <c r="P165" t="s">
        <v>362</v>
      </c>
    </row>
    <row r="166" spans="1:16" x14ac:dyDescent="0.35">
      <c r="A166" s="1">
        <v>45579</v>
      </c>
      <c r="B166" s="1" t="str">
        <f t="shared" si="9"/>
        <v>October-2024</v>
      </c>
      <c r="C166" t="s">
        <v>46</v>
      </c>
      <c r="D166" t="s">
        <v>108</v>
      </c>
      <c r="E166" t="s">
        <v>85</v>
      </c>
      <c r="F166" s="4">
        <v>90</v>
      </c>
      <c r="G166" t="s">
        <v>81</v>
      </c>
      <c r="H166" t="s">
        <v>92</v>
      </c>
      <c r="I166" t="s">
        <v>315</v>
      </c>
      <c r="J166" t="s">
        <v>83</v>
      </c>
      <c r="K166" s="1">
        <v>45581</v>
      </c>
      <c r="L166" t="s">
        <v>83</v>
      </c>
      <c r="M166">
        <f t="shared" si="8"/>
        <v>2</v>
      </c>
      <c r="N166" s="16">
        <f t="shared" si="10"/>
        <v>2.1666666666666665</v>
      </c>
      <c r="O166" t="str">
        <f t="shared" si="11"/>
        <v>On Time</v>
      </c>
      <c r="P166" t="s">
        <v>362</v>
      </c>
    </row>
    <row r="167" spans="1:16" x14ac:dyDescent="0.35">
      <c r="A167" s="1">
        <v>45579</v>
      </c>
      <c r="B167" s="1" t="str">
        <f t="shared" si="9"/>
        <v>October-2024</v>
      </c>
      <c r="C167" t="s">
        <v>47</v>
      </c>
      <c r="D167" t="s">
        <v>108</v>
      </c>
      <c r="E167" t="s">
        <v>85</v>
      </c>
      <c r="F167" s="4">
        <v>120</v>
      </c>
      <c r="G167" t="s">
        <v>81</v>
      </c>
      <c r="H167" t="s">
        <v>89</v>
      </c>
      <c r="I167" t="s">
        <v>315</v>
      </c>
      <c r="J167" t="s">
        <v>83</v>
      </c>
      <c r="K167" s="1">
        <v>45581</v>
      </c>
      <c r="L167" t="s">
        <v>83</v>
      </c>
      <c r="M167">
        <f t="shared" si="8"/>
        <v>2</v>
      </c>
      <c r="N167" s="16">
        <f t="shared" si="10"/>
        <v>1.7</v>
      </c>
      <c r="O167" t="str">
        <f t="shared" si="11"/>
        <v>Delayed</v>
      </c>
      <c r="P167" t="s">
        <v>362</v>
      </c>
    </row>
    <row r="168" spans="1:16" x14ac:dyDescent="0.35">
      <c r="A168" s="1">
        <v>45579</v>
      </c>
      <c r="B168" s="1" t="str">
        <f t="shared" si="9"/>
        <v>October-2024</v>
      </c>
      <c r="C168" t="s">
        <v>48</v>
      </c>
      <c r="D168" t="s">
        <v>108</v>
      </c>
      <c r="E168" t="s">
        <v>85</v>
      </c>
      <c r="F168" s="4">
        <v>480</v>
      </c>
      <c r="G168" t="s">
        <v>81</v>
      </c>
      <c r="H168" t="s">
        <v>93</v>
      </c>
      <c r="I168" t="s">
        <v>315</v>
      </c>
      <c r="J168" t="s">
        <v>94</v>
      </c>
      <c r="K168" s="1">
        <v>45582</v>
      </c>
      <c r="L168" t="s">
        <v>83</v>
      </c>
      <c r="M168">
        <f t="shared" si="8"/>
        <v>3</v>
      </c>
      <c r="N168" s="16">
        <f t="shared" si="10"/>
        <v>3</v>
      </c>
      <c r="O168" t="str">
        <f t="shared" si="11"/>
        <v>On Time</v>
      </c>
      <c r="P168" t="s">
        <v>362</v>
      </c>
    </row>
    <row r="169" spans="1:16" x14ac:dyDescent="0.35">
      <c r="A169" s="1">
        <v>45579</v>
      </c>
      <c r="B169" s="1" t="str">
        <f t="shared" si="9"/>
        <v>October-2024</v>
      </c>
      <c r="C169" t="s">
        <v>49</v>
      </c>
      <c r="D169" t="s">
        <v>108</v>
      </c>
      <c r="E169" t="s">
        <v>85</v>
      </c>
      <c r="F169" s="4">
        <v>230</v>
      </c>
      <c r="G169" t="s">
        <v>81</v>
      </c>
      <c r="H169" t="s">
        <v>86</v>
      </c>
      <c r="I169" t="s">
        <v>315</v>
      </c>
      <c r="J169" t="s">
        <v>83</v>
      </c>
      <c r="K169" s="1">
        <v>45580</v>
      </c>
      <c r="L169" t="s">
        <v>83</v>
      </c>
      <c r="M169">
        <f t="shared" si="8"/>
        <v>1</v>
      </c>
      <c r="N169" s="16">
        <f t="shared" si="10"/>
        <v>2.1428571428571428</v>
      </c>
      <c r="O169" t="str">
        <f t="shared" si="11"/>
        <v>On Time</v>
      </c>
      <c r="P169" t="s">
        <v>362</v>
      </c>
    </row>
    <row r="170" spans="1:16" x14ac:dyDescent="0.35">
      <c r="A170" s="1">
        <v>45580</v>
      </c>
      <c r="B170" s="1" t="str">
        <f t="shared" si="9"/>
        <v>October-2024</v>
      </c>
      <c r="C170" t="s">
        <v>283</v>
      </c>
      <c r="D170" t="s">
        <v>108</v>
      </c>
      <c r="E170" t="s">
        <v>85</v>
      </c>
      <c r="F170" s="4">
        <v>650</v>
      </c>
      <c r="G170" t="s">
        <v>81</v>
      </c>
      <c r="H170" t="s">
        <v>132</v>
      </c>
      <c r="I170" t="s">
        <v>314</v>
      </c>
      <c r="J170" t="s">
        <v>83</v>
      </c>
      <c r="K170" s="1">
        <v>45582</v>
      </c>
      <c r="L170" t="s">
        <v>83</v>
      </c>
      <c r="M170">
        <f t="shared" si="8"/>
        <v>2</v>
      </c>
      <c r="N170" s="16">
        <f t="shared" si="10"/>
        <v>2.3333333333333335</v>
      </c>
      <c r="O170" t="str">
        <f t="shared" si="11"/>
        <v>On Time</v>
      </c>
      <c r="P170" t="s">
        <v>363</v>
      </c>
    </row>
    <row r="171" spans="1:16" x14ac:dyDescent="0.35">
      <c r="A171" s="1">
        <v>45580</v>
      </c>
      <c r="B171" s="1" t="str">
        <f t="shared" si="9"/>
        <v>October-2024</v>
      </c>
      <c r="C171" t="s">
        <v>284</v>
      </c>
      <c r="D171" t="s">
        <v>108</v>
      </c>
      <c r="E171" t="s">
        <v>85</v>
      </c>
      <c r="F171" s="4">
        <v>670</v>
      </c>
      <c r="G171" t="s">
        <v>81</v>
      </c>
      <c r="H171" t="s">
        <v>87</v>
      </c>
      <c r="I171" t="s">
        <v>314</v>
      </c>
      <c r="J171" t="s">
        <v>83</v>
      </c>
      <c r="K171" s="1">
        <v>45585</v>
      </c>
      <c r="L171" t="s">
        <v>83</v>
      </c>
      <c r="M171">
        <f t="shared" si="8"/>
        <v>5</v>
      </c>
      <c r="N171" s="16">
        <f t="shared" si="10"/>
        <v>3.5185185185185186</v>
      </c>
      <c r="O171" t="str">
        <f t="shared" si="11"/>
        <v>Delayed</v>
      </c>
      <c r="P171" t="s">
        <v>363</v>
      </c>
    </row>
    <row r="172" spans="1:16" x14ac:dyDescent="0.35">
      <c r="A172" s="1">
        <v>45580</v>
      </c>
      <c r="B172" s="1" t="str">
        <f t="shared" si="9"/>
        <v>October-2024</v>
      </c>
      <c r="C172" t="s">
        <v>302</v>
      </c>
      <c r="D172" t="s">
        <v>142</v>
      </c>
      <c r="E172" t="s">
        <v>85</v>
      </c>
      <c r="F172" s="4">
        <v>1150</v>
      </c>
      <c r="G172" t="s">
        <v>81</v>
      </c>
      <c r="H172" t="s">
        <v>296</v>
      </c>
      <c r="I172" t="s">
        <v>315</v>
      </c>
      <c r="J172" t="s">
        <v>83</v>
      </c>
      <c r="K172" s="1">
        <v>45582</v>
      </c>
      <c r="L172" t="s">
        <v>83</v>
      </c>
      <c r="M172">
        <f t="shared" si="8"/>
        <v>2</v>
      </c>
      <c r="N172" s="16">
        <f t="shared" si="10"/>
        <v>2</v>
      </c>
      <c r="O172" t="str">
        <f t="shared" si="11"/>
        <v>On Time</v>
      </c>
      <c r="P172" t="s">
        <v>363</v>
      </c>
    </row>
    <row r="173" spans="1:16" x14ac:dyDescent="0.35">
      <c r="A173" s="1">
        <v>45580</v>
      </c>
      <c r="B173" s="1" t="str">
        <f t="shared" si="9"/>
        <v>October-2024</v>
      </c>
      <c r="C173" t="s">
        <v>303</v>
      </c>
      <c r="D173" t="s">
        <v>142</v>
      </c>
      <c r="E173" t="s">
        <v>85</v>
      </c>
      <c r="F173" s="4">
        <v>650</v>
      </c>
      <c r="G173" t="s">
        <v>81</v>
      </c>
      <c r="H173" t="s">
        <v>86</v>
      </c>
      <c r="I173" t="s">
        <v>315</v>
      </c>
      <c r="J173" t="s">
        <v>83</v>
      </c>
      <c r="K173" s="1">
        <v>45581</v>
      </c>
      <c r="L173" t="s">
        <v>83</v>
      </c>
      <c r="M173">
        <f t="shared" si="8"/>
        <v>1</v>
      </c>
      <c r="N173" s="16">
        <f t="shared" si="10"/>
        <v>2.1428571428571428</v>
      </c>
      <c r="O173" t="str">
        <f t="shared" si="11"/>
        <v>On Time</v>
      </c>
      <c r="P173" t="s">
        <v>363</v>
      </c>
    </row>
    <row r="174" spans="1:16" x14ac:dyDescent="0.35">
      <c r="A174" s="1">
        <v>45581</v>
      </c>
      <c r="B174" s="1" t="str">
        <f t="shared" si="9"/>
        <v>October-2024</v>
      </c>
      <c r="C174" t="s">
        <v>285</v>
      </c>
      <c r="D174" t="s">
        <v>108</v>
      </c>
      <c r="E174" t="s">
        <v>85</v>
      </c>
      <c r="F174" s="4">
        <v>450</v>
      </c>
      <c r="G174" t="s">
        <v>81</v>
      </c>
      <c r="H174" t="s">
        <v>286</v>
      </c>
      <c r="I174" t="s">
        <v>314</v>
      </c>
      <c r="J174" t="s">
        <v>83</v>
      </c>
      <c r="K174" s="1">
        <v>45584</v>
      </c>
      <c r="L174" t="s">
        <v>83</v>
      </c>
      <c r="M174">
        <f t="shared" si="8"/>
        <v>3</v>
      </c>
      <c r="N174" s="16">
        <f t="shared" si="10"/>
        <v>3</v>
      </c>
      <c r="O174" t="str">
        <f t="shared" si="11"/>
        <v>On Time</v>
      </c>
      <c r="P174" t="s">
        <v>364</v>
      </c>
    </row>
    <row r="175" spans="1:16" x14ac:dyDescent="0.35">
      <c r="A175" s="1">
        <v>45581</v>
      </c>
      <c r="B175" s="1" t="str">
        <f t="shared" si="9"/>
        <v>October-2024</v>
      </c>
      <c r="C175" t="s">
        <v>287</v>
      </c>
      <c r="D175" t="s">
        <v>108</v>
      </c>
      <c r="E175" t="s">
        <v>85</v>
      </c>
      <c r="F175" s="4">
        <v>760</v>
      </c>
      <c r="G175" t="s">
        <v>81</v>
      </c>
      <c r="H175" t="s">
        <v>91</v>
      </c>
      <c r="I175" t="s">
        <v>314</v>
      </c>
      <c r="J175" t="s">
        <v>83</v>
      </c>
      <c r="K175" s="1">
        <v>45587</v>
      </c>
      <c r="L175" t="s">
        <v>83</v>
      </c>
      <c r="M175">
        <f t="shared" si="8"/>
        <v>6</v>
      </c>
      <c r="N175" s="16">
        <f t="shared" si="10"/>
        <v>3.4</v>
      </c>
      <c r="O175" t="str">
        <f t="shared" si="11"/>
        <v>Delayed</v>
      </c>
      <c r="P175" t="s">
        <v>364</v>
      </c>
    </row>
    <row r="176" spans="1:16" x14ac:dyDescent="0.35">
      <c r="A176" s="1">
        <v>45583</v>
      </c>
      <c r="B176" s="1" t="str">
        <f t="shared" si="9"/>
        <v>October-2024</v>
      </c>
      <c r="C176" t="s">
        <v>288</v>
      </c>
      <c r="D176" t="s">
        <v>108</v>
      </c>
      <c r="E176" t="s">
        <v>85</v>
      </c>
      <c r="F176" s="4">
        <v>1000</v>
      </c>
      <c r="G176" t="s">
        <v>81</v>
      </c>
      <c r="H176" t="s">
        <v>90</v>
      </c>
      <c r="I176" t="s">
        <v>314</v>
      </c>
      <c r="J176" t="s">
        <v>83</v>
      </c>
      <c r="K176" s="1">
        <v>45586</v>
      </c>
      <c r="L176" t="s">
        <v>83</v>
      </c>
      <c r="M176">
        <f t="shared" si="8"/>
        <v>3</v>
      </c>
      <c r="N176" s="16">
        <f t="shared" si="10"/>
        <v>2.0555555555555554</v>
      </c>
      <c r="O176" t="str">
        <f t="shared" si="11"/>
        <v>Delayed</v>
      </c>
      <c r="P176" t="s">
        <v>366</v>
      </c>
    </row>
    <row r="177" spans="1:16" x14ac:dyDescent="0.35">
      <c r="A177" s="1">
        <v>45584</v>
      </c>
      <c r="B177" s="1" t="str">
        <f t="shared" si="9"/>
        <v>October-2024</v>
      </c>
      <c r="C177" t="s">
        <v>304</v>
      </c>
      <c r="D177" t="s">
        <v>142</v>
      </c>
      <c r="E177" t="s">
        <v>85</v>
      </c>
      <c r="F177" s="4">
        <v>490</v>
      </c>
      <c r="G177" t="s">
        <v>81</v>
      </c>
      <c r="H177" t="s">
        <v>90</v>
      </c>
      <c r="I177" t="s">
        <v>315</v>
      </c>
      <c r="J177" t="s">
        <v>83</v>
      </c>
      <c r="K177" s="1">
        <v>45587</v>
      </c>
      <c r="L177" t="s">
        <v>83</v>
      </c>
      <c r="M177">
        <f t="shared" si="8"/>
        <v>3</v>
      </c>
      <c r="N177" s="16">
        <f t="shared" si="10"/>
        <v>2.0555555555555554</v>
      </c>
      <c r="O177" t="str">
        <f t="shared" si="11"/>
        <v>Delayed</v>
      </c>
      <c r="P177" t="s">
        <v>367</v>
      </c>
    </row>
    <row r="178" spans="1:16" x14ac:dyDescent="0.35">
      <c r="A178" s="1">
        <v>45586</v>
      </c>
      <c r="B178" s="1" t="str">
        <f t="shared" si="9"/>
        <v>October-2024</v>
      </c>
      <c r="C178" t="s">
        <v>289</v>
      </c>
      <c r="D178" t="s">
        <v>108</v>
      </c>
      <c r="E178" t="s">
        <v>85</v>
      </c>
      <c r="F178" s="4">
        <v>1050</v>
      </c>
      <c r="G178" t="s">
        <v>81</v>
      </c>
      <c r="H178" t="s">
        <v>290</v>
      </c>
      <c r="I178" t="s">
        <v>314</v>
      </c>
      <c r="J178" t="s">
        <v>83</v>
      </c>
      <c r="K178" s="1">
        <v>45589</v>
      </c>
      <c r="L178" t="s">
        <v>83</v>
      </c>
      <c r="M178">
        <f t="shared" si="8"/>
        <v>3</v>
      </c>
      <c r="N178" s="16">
        <f t="shared" si="10"/>
        <v>3</v>
      </c>
      <c r="O178" t="str">
        <f t="shared" si="11"/>
        <v>On Time</v>
      </c>
      <c r="P178" t="s">
        <v>362</v>
      </c>
    </row>
    <row r="179" spans="1:16" x14ac:dyDescent="0.35">
      <c r="A179" s="1">
        <v>45586</v>
      </c>
      <c r="B179" s="1" t="str">
        <f t="shared" si="9"/>
        <v>October-2024</v>
      </c>
      <c r="C179" t="s">
        <v>50</v>
      </c>
      <c r="D179" t="s">
        <v>108</v>
      </c>
      <c r="E179" t="s">
        <v>85</v>
      </c>
      <c r="F179" s="4">
        <v>110</v>
      </c>
      <c r="G179" t="s">
        <v>81</v>
      </c>
      <c r="H179" t="s">
        <v>89</v>
      </c>
      <c r="I179" t="s">
        <v>315</v>
      </c>
      <c r="J179" t="s">
        <v>83</v>
      </c>
      <c r="K179" s="1">
        <v>45587</v>
      </c>
      <c r="L179" t="s">
        <v>83</v>
      </c>
      <c r="M179">
        <f t="shared" si="8"/>
        <v>1</v>
      </c>
      <c r="N179" s="16">
        <f t="shared" si="10"/>
        <v>1.7</v>
      </c>
      <c r="O179" t="str">
        <f t="shared" si="11"/>
        <v>On Time</v>
      </c>
      <c r="P179" t="s">
        <v>362</v>
      </c>
    </row>
    <row r="180" spans="1:16" x14ac:dyDescent="0.35">
      <c r="A180" s="1">
        <v>45586</v>
      </c>
      <c r="B180" s="1" t="str">
        <f t="shared" si="9"/>
        <v>October-2024</v>
      </c>
      <c r="C180" t="s">
        <v>51</v>
      </c>
      <c r="D180" t="s">
        <v>108</v>
      </c>
      <c r="E180" t="s">
        <v>85</v>
      </c>
      <c r="F180" s="4">
        <v>110</v>
      </c>
      <c r="G180" t="s">
        <v>81</v>
      </c>
      <c r="H180" t="s">
        <v>89</v>
      </c>
      <c r="I180" t="s">
        <v>315</v>
      </c>
      <c r="J180" t="s">
        <v>83</v>
      </c>
      <c r="K180" s="1">
        <v>45587</v>
      </c>
      <c r="L180" t="s">
        <v>83</v>
      </c>
      <c r="M180">
        <f t="shared" si="8"/>
        <v>1</v>
      </c>
      <c r="N180" s="16">
        <f t="shared" si="10"/>
        <v>1.7</v>
      </c>
      <c r="O180" t="str">
        <f t="shared" si="11"/>
        <v>On Time</v>
      </c>
      <c r="P180" t="s">
        <v>362</v>
      </c>
    </row>
    <row r="181" spans="1:16" x14ac:dyDescent="0.35">
      <c r="A181" s="1">
        <v>45586</v>
      </c>
      <c r="B181" s="1" t="str">
        <f t="shared" si="9"/>
        <v>October-2024</v>
      </c>
      <c r="C181" t="s">
        <v>52</v>
      </c>
      <c r="D181" t="s">
        <v>108</v>
      </c>
      <c r="E181" t="s">
        <v>85</v>
      </c>
      <c r="F181" s="4">
        <v>540</v>
      </c>
      <c r="G181" t="s">
        <v>81</v>
      </c>
      <c r="H181" t="s">
        <v>89</v>
      </c>
      <c r="I181" t="s">
        <v>315</v>
      </c>
      <c r="J181" t="s">
        <v>83</v>
      </c>
      <c r="K181" s="1">
        <v>45587</v>
      </c>
      <c r="L181" t="s">
        <v>83</v>
      </c>
      <c r="M181">
        <f t="shared" si="8"/>
        <v>1</v>
      </c>
      <c r="N181" s="16">
        <f t="shared" si="10"/>
        <v>1.7</v>
      </c>
      <c r="O181" t="str">
        <f t="shared" si="11"/>
        <v>On Time</v>
      </c>
      <c r="P181" t="s">
        <v>362</v>
      </c>
    </row>
    <row r="182" spans="1:16" x14ac:dyDescent="0.35">
      <c r="A182" s="1">
        <v>45586</v>
      </c>
      <c r="B182" s="1" t="str">
        <f t="shared" si="9"/>
        <v>October-2024</v>
      </c>
      <c r="C182" t="s">
        <v>53</v>
      </c>
      <c r="D182" t="s">
        <v>108</v>
      </c>
      <c r="E182" t="s">
        <v>85</v>
      </c>
      <c r="F182" s="4">
        <v>150</v>
      </c>
      <c r="G182" t="s">
        <v>81</v>
      </c>
      <c r="H182" t="s">
        <v>91</v>
      </c>
      <c r="I182" t="s">
        <v>315</v>
      </c>
      <c r="J182" t="s">
        <v>95</v>
      </c>
      <c r="K182" s="1">
        <v>45588</v>
      </c>
      <c r="L182" t="s">
        <v>83</v>
      </c>
      <c r="M182">
        <f t="shared" si="8"/>
        <v>2</v>
      </c>
      <c r="N182" s="16">
        <f t="shared" si="10"/>
        <v>3.4</v>
      </c>
      <c r="O182" t="str">
        <f t="shared" si="11"/>
        <v>On Time</v>
      </c>
      <c r="P182" t="s">
        <v>362</v>
      </c>
    </row>
    <row r="183" spans="1:16" x14ac:dyDescent="0.35">
      <c r="A183" s="1">
        <v>45586</v>
      </c>
      <c r="B183" s="1" t="str">
        <f t="shared" si="9"/>
        <v>October-2024</v>
      </c>
      <c r="C183" t="s">
        <v>54</v>
      </c>
      <c r="D183" t="s">
        <v>108</v>
      </c>
      <c r="E183" t="s">
        <v>85</v>
      </c>
      <c r="F183" s="4">
        <v>90</v>
      </c>
      <c r="G183" t="s">
        <v>81</v>
      </c>
      <c r="H183" t="s">
        <v>88</v>
      </c>
      <c r="I183" t="s">
        <v>315</v>
      </c>
      <c r="J183" t="s">
        <v>83</v>
      </c>
      <c r="K183" s="1">
        <v>45587</v>
      </c>
      <c r="L183" t="s">
        <v>83</v>
      </c>
      <c r="M183">
        <f t="shared" si="8"/>
        <v>1</v>
      </c>
      <c r="N183" s="16">
        <f t="shared" si="10"/>
        <v>2.406779661016949</v>
      </c>
      <c r="O183" t="str">
        <f t="shared" si="11"/>
        <v>On Time</v>
      </c>
      <c r="P183" t="s">
        <v>362</v>
      </c>
    </row>
    <row r="184" spans="1:16" x14ac:dyDescent="0.35">
      <c r="A184" s="1">
        <v>45587</v>
      </c>
      <c r="B184" s="1" t="str">
        <f t="shared" si="9"/>
        <v>October-2024</v>
      </c>
      <c r="C184" t="s">
        <v>291</v>
      </c>
      <c r="D184" t="s">
        <v>108</v>
      </c>
      <c r="E184" t="s">
        <v>85</v>
      </c>
      <c r="F184" s="4">
        <v>340</v>
      </c>
      <c r="G184" t="s">
        <v>81</v>
      </c>
      <c r="H184" t="s">
        <v>130</v>
      </c>
      <c r="I184" t="s">
        <v>314</v>
      </c>
      <c r="J184" t="s">
        <v>83</v>
      </c>
      <c r="K184" s="1">
        <v>45588</v>
      </c>
      <c r="L184" t="s">
        <v>83</v>
      </c>
      <c r="M184">
        <f t="shared" si="8"/>
        <v>1</v>
      </c>
      <c r="N184" s="16">
        <f t="shared" si="10"/>
        <v>1.5</v>
      </c>
      <c r="O184" t="str">
        <f t="shared" si="11"/>
        <v>On Time</v>
      </c>
      <c r="P184" t="s">
        <v>363</v>
      </c>
    </row>
    <row r="185" spans="1:16" x14ac:dyDescent="0.35">
      <c r="A185" s="1">
        <v>45587</v>
      </c>
      <c r="B185" s="1" t="str">
        <f t="shared" si="9"/>
        <v>October-2024</v>
      </c>
      <c r="C185" t="s">
        <v>292</v>
      </c>
      <c r="D185" t="s">
        <v>108</v>
      </c>
      <c r="E185" t="s">
        <v>85</v>
      </c>
      <c r="F185" s="4">
        <v>480</v>
      </c>
      <c r="G185" t="s">
        <v>81</v>
      </c>
      <c r="H185" t="s">
        <v>87</v>
      </c>
      <c r="I185" t="s">
        <v>314</v>
      </c>
      <c r="J185" t="s">
        <v>83</v>
      </c>
      <c r="K185" s="1">
        <v>45595</v>
      </c>
      <c r="L185" t="s">
        <v>83</v>
      </c>
      <c r="M185">
        <f t="shared" si="8"/>
        <v>8</v>
      </c>
      <c r="N185" s="16">
        <f t="shared" si="10"/>
        <v>3.5185185185185186</v>
      </c>
      <c r="O185" t="str">
        <f t="shared" si="11"/>
        <v>Delayed</v>
      </c>
      <c r="P185" t="s">
        <v>363</v>
      </c>
    </row>
    <row r="186" spans="1:16" x14ac:dyDescent="0.35">
      <c r="A186" s="1">
        <v>45587</v>
      </c>
      <c r="B186" s="1" t="str">
        <f t="shared" si="9"/>
        <v>October-2024</v>
      </c>
      <c r="C186" t="s">
        <v>293</v>
      </c>
      <c r="D186" t="s">
        <v>108</v>
      </c>
      <c r="E186" t="s">
        <v>85</v>
      </c>
      <c r="F186" s="4">
        <v>520</v>
      </c>
      <c r="G186" t="s">
        <v>81</v>
      </c>
      <c r="H186" t="s">
        <v>87</v>
      </c>
      <c r="I186" t="s">
        <v>314</v>
      </c>
      <c r="J186" t="s">
        <v>83</v>
      </c>
      <c r="K186" s="1">
        <v>45592</v>
      </c>
      <c r="L186" t="s">
        <v>83</v>
      </c>
      <c r="M186">
        <f t="shared" si="8"/>
        <v>5</v>
      </c>
      <c r="N186" s="16">
        <f t="shared" si="10"/>
        <v>3.5185185185185186</v>
      </c>
      <c r="O186" t="str">
        <f t="shared" si="11"/>
        <v>Delayed</v>
      </c>
      <c r="P186" t="s">
        <v>363</v>
      </c>
    </row>
    <row r="187" spans="1:16" x14ac:dyDescent="0.35">
      <c r="A187" s="1">
        <v>45587</v>
      </c>
      <c r="B187" s="1" t="str">
        <f t="shared" si="9"/>
        <v>October-2024</v>
      </c>
      <c r="C187" t="s">
        <v>294</v>
      </c>
      <c r="D187" t="s">
        <v>108</v>
      </c>
      <c r="E187" t="s">
        <v>85</v>
      </c>
      <c r="F187" s="4">
        <v>1350</v>
      </c>
      <c r="G187" t="s">
        <v>81</v>
      </c>
      <c r="H187" t="s">
        <v>295</v>
      </c>
      <c r="I187" t="s">
        <v>314</v>
      </c>
      <c r="J187" t="s">
        <v>83</v>
      </c>
      <c r="K187" s="1">
        <v>45591</v>
      </c>
      <c r="L187" t="s">
        <v>83</v>
      </c>
      <c r="M187">
        <f t="shared" si="8"/>
        <v>4</v>
      </c>
      <c r="N187" s="16">
        <f t="shared" si="10"/>
        <v>4</v>
      </c>
      <c r="O187" t="str">
        <f t="shared" si="11"/>
        <v>On Time</v>
      </c>
      <c r="P187" t="s">
        <v>363</v>
      </c>
    </row>
    <row r="188" spans="1:16" x14ac:dyDescent="0.35">
      <c r="A188" s="1">
        <v>45587</v>
      </c>
      <c r="B188" s="1" t="str">
        <f t="shared" si="9"/>
        <v>October-2024</v>
      </c>
      <c r="C188" t="s">
        <v>305</v>
      </c>
      <c r="D188" t="s">
        <v>142</v>
      </c>
      <c r="E188" t="s">
        <v>85</v>
      </c>
      <c r="F188" s="4">
        <v>320</v>
      </c>
      <c r="G188" t="s">
        <v>81</v>
      </c>
      <c r="H188" t="s">
        <v>91</v>
      </c>
      <c r="I188" t="s">
        <v>315</v>
      </c>
      <c r="J188" t="s">
        <v>83</v>
      </c>
      <c r="K188" s="1">
        <v>45589</v>
      </c>
      <c r="L188" t="s">
        <v>83</v>
      </c>
      <c r="M188">
        <f t="shared" si="8"/>
        <v>2</v>
      </c>
      <c r="N188" s="16">
        <f t="shared" si="10"/>
        <v>3.4</v>
      </c>
      <c r="O188" t="str">
        <f t="shared" si="11"/>
        <v>On Time</v>
      </c>
      <c r="P188" t="s">
        <v>363</v>
      </c>
    </row>
    <row r="189" spans="1:16" x14ac:dyDescent="0.35">
      <c r="A189" s="1">
        <v>45588</v>
      </c>
      <c r="B189" s="1" t="str">
        <f t="shared" si="9"/>
        <v>October-2024</v>
      </c>
      <c r="C189" t="s">
        <v>55</v>
      </c>
      <c r="D189" t="s">
        <v>108</v>
      </c>
      <c r="E189" t="s">
        <v>85</v>
      </c>
      <c r="F189" s="4">
        <v>70</v>
      </c>
      <c r="G189" t="s">
        <v>81</v>
      </c>
      <c r="H189" t="s">
        <v>88</v>
      </c>
      <c r="I189" t="s">
        <v>315</v>
      </c>
      <c r="J189" t="s">
        <v>83</v>
      </c>
      <c r="K189" s="1">
        <v>45589</v>
      </c>
      <c r="L189" t="s">
        <v>83</v>
      </c>
      <c r="M189">
        <f t="shared" si="8"/>
        <v>1</v>
      </c>
      <c r="N189" s="16">
        <f t="shared" si="10"/>
        <v>2.406779661016949</v>
      </c>
      <c r="O189" t="str">
        <f t="shared" si="11"/>
        <v>On Time</v>
      </c>
      <c r="P189" t="s">
        <v>364</v>
      </c>
    </row>
    <row r="190" spans="1:16" x14ac:dyDescent="0.35">
      <c r="A190" s="1">
        <v>45588</v>
      </c>
      <c r="B190" s="1" t="str">
        <f t="shared" si="9"/>
        <v>October-2024</v>
      </c>
      <c r="C190" t="s">
        <v>56</v>
      </c>
      <c r="D190" t="s">
        <v>108</v>
      </c>
      <c r="E190" t="s">
        <v>85</v>
      </c>
      <c r="F190" s="4">
        <v>70</v>
      </c>
      <c r="G190" t="s">
        <v>81</v>
      </c>
      <c r="H190" t="s">
        <v>88</v>
      </c>
      <c r="I190" t="s">
        <v>315</v>
      </c>
      <c r="J190" t="s">
        <v>83</v>
      </c>
      <c r="K190" s="1">
        <v>45589</v>
      </c>
      <c r="L190" t="s">
        <v>83</v>
      </c>
      <c r="M190">
        <f t="shared" si="8"/>
        <v>1</v>
      </c>
      <c r="N190" s="16">
        <f t="shared" si="10"/>
        <v>2.406779661016949</v>
      </c>
      <c r="O190" t="str">
        <f t="shared" si="11"/>
        <v>On Time</v>
      </c>
      <c r="P190" t="s">
        <v>364</v>
      </c>
    </row>
    <row r="191" spans="1:16" x14ac:dyDescent="0.35">
      <c r="A191" s="1">
        <v>45588</v>
      </c>
      <c r="B191" s="1" t="str">
        <f t="shared" si="9"/>
        <v>October-2024</v>
      </c>
      <c r="C191" t="s">
        <v>57</v>
      </c>
      <c r="D191" t="s">
        <v>108</v>
      </c>
      <c r="E191" t="s">
        <v>85</v>
      </c>
      <c r="F191" s="4">
        <v>90</v>
      </c>
      <c r="G191" t="s">
        <v>81</v>
      </c>
      <c r="H191" t="s">
        <v>88</v>
      </c>
      <c r="I191" t="s">
        <v>315</v>
      </c>
      <c r="J191" t="s">
        <v>83</v>
      </c>
      <c r="K191" s="1">
        <v>45589</v>
      </c>
      <c r="L191" t="s">
        <v>83</v>
      </c>
      <c r="M191">
        <f t="shared" si="8"/>
        <v>1</v>
      </c>
      <c r="N191" s="16">
        <f t="shared" si="10"/>
        <v>2.406779661016949</v>
      </c>
      <c r="O191" t="str">
        <f t="shared" si="11"/>
        <v>On Time</v>
      </c>
      <c r="P191" t="s">
        <v>364</v>
      </c>
    </row>
    <row r="192" spans="1:16" x14ac:dyDescent="0.35">
      <c r="A192" s="1">
        <v>45588</v>
      </c>
      <c r="B192" s="1" t="str">
        <f t="shared" si="9"/>
        <v>October-2024</v>
      </c>
      <c r="C192" t="s">
        <v>58</v>
      </c>
      <c r="D192" t="s">
        <v>108</v>
      </c>
      <c r="E192" t="s">
        <v>85</v>
      </c>
      <c r="F192" s="4">
        <v>90</v>
      </c>
      <c r="G192" t="s">
        <v>81</v>
      </c>
      <c r="H192" t="s">
        <v>88</v>
      </c>
      <c r="I192" t="s">
        <v>315</v>
      </c>
      <c r="J192" t="s">
        <v>83</v>
      </c>
      <c r="K192" s="1">
        <v>45589</v>
      </c>
      <c r="L192" t="s">
        <v>83</v>
      </c>
      <c r="M192">
        <f t="shared" si="8"/>
        <v>1</v>
      </c>
      <c r="N192" s="16">
        <f t="shared" si="10"/>
        <v>2.406779661016949</v>
      </c>
      <c r="O192" t="str">
        <f t="shared" si="11"/>
        <v>On Time</v>
      </c>
      <c r="P192" t="s">
        <v>364</v>
      </c>
    </row>
    <row r="193" spans="1:16" x14ac:dyDescent="0.35">
      <c r="A193" s="1">
        <v>45588</v>
      </c>
      <c r="B193" s="1" t="str">
        <f t="shared" si="9"/>
        <v>October-2024</v>
      </c>
      <c r="C193" t="s">
        <v>59</v>
      </c>
      <c r="D193" t="s">
        <v>108</v>
      </c>
      <c r="E193" t="s">
        <v>85</v>
      </c>
      <c r="F193" s="4">
        <v>140</v>
      </c>
      <c r="G193" t="s">
        <v>81</v>
      </c>
      <c r="H193" t="s">
        <v>96</v>
      </c>
      <c r="I193" t="s">
        <v>315</v>
      </c>
      <c r="J193" t="s">
        <v>83</v>
      </c>
      <c r="K193" s="1">
        <v>45591</v>
      </c>
      <c r="L193" t="s">
        <v>83</v>
      </c>
      <c r="M193">
        <f t="shared" si="8"/>
        <v>3</v>
      </c>
      <c r="N193" s="16">
        <f t="shared" si="10"/>
        <v>4.5999999999999996</v>
      </c>
      <c r="O193" t="str">
        <f t="shared" si="11"/>
        <v>On Time</v>
      </c>
      <c r="P193" t="s">
        <v>364</v>
      </c>
    </row>
    <row r="194" spans="1:16" x14ac:dyDescent="0.35">
      <c r="A194" s="1">
        <v>45588</v>
      </c>
      <c r="B194" s="1" t="str">
        <f t="shared" si="9"/>
        <v>October-2024</v>
      </c>
      <c r="C194" t="s">
        <v>60</v>
      </c>
      <c r="D194" t="s">
        <v>108</v>
      </c>
      <c r="E194" t="s">
        <v>85</v>
      </c>
      <c r="F194" s="4">
        <v>140</v>
      </c>
      <c r="G194" t="s">
        <v>81</v>
      </c>
      <c r="H194" t="s">
        <v>96</v>
      </c>
      <c r="I194" t="s">
        <v>315</v>
      </c>
      <c r="J194" t="s">
        <v>83</v>
      </c>
      <c r="K194" s="1">
        <v>45591</v>
      </c>
      <c r="L194" t="s">
        <v>83</v>
      </c>
      <c r="M194">
        <f t="shared" ref="M194:M226" si="12">IF(E194="Delivered",K194-A194,"")</f>
        <v>3</v>
      </c>
      <c r="N194" s="16">
        <f t="shared" si="10"/>
        <v>4.5999999999999996</v>
      </c>
      <c r="O194" t="str">
        <f t="shared" si="11"/>
        <v>On Time</v>
      </c>
      <c r="P194" t="s">
        <v>364</v>
      </c>
    </row>
    <row r="195" spans="1:16" x14ac:dyDescent="0.35">
      <c r="A195" s="1">
        <v>45588</v>
      </c>
      <c r="B195" s="1" t="str">
        <f t="shared" ref="B195:B226" si="13">TEXT(A195,"mmmm-yyyy")</f>
        <v>October-2024</v>
      </c>
      <c r="C195" t="s">
        <v>61</v>
      </c>
      <c r="D195" t="s">
        <v>108</v>
      </c>
      <c r="E195" t="s">
        <v>85</v>
      </c>
      <c r="F195" s="4">
        <v>90</v>
      </c>
      <c r="G195" t="s">
        <v>81</v>
      </c>
      <c r="H195" t="s">
        <v>90</v>
      </c>
      <c r="I195" t="s">
        <v>315</v>
      </c>
      <c r="J195" t="s">
        <v>83</v>
      </c>
      <c r="K195" s="1">
        <v>45590</v>
      </c>
      <c r="L195" t="s">
        <v>83</v>
      </c>
      <c r="M195">
        <f t="shared" si="12"/>
        <v>2</v>
      </c>
      <c r="N195" s="16">
        <f t="shared" ref="N195:N226" si="14">AVERAGEIF(H:H,H195,M:M)</f>
        <v>2.0555555555555554</v>
      </c>
      <c r="O195" t="str">
        <f t="shared" ref="O195:O226" si="15">IF(M195&gt;N195,"Delayed","On Time")</f>
        <v>On Time</v>
      </c>
      <c r="P195" t="s">
        <v>364</v>
      </c>
    </row>
    <row r="196" spans="1:16" x14ac:dyDescent="0.35">
      <c r="A196" s="1">
        <v>45588</v>
      </c>
      <c r="B196" s="1" t="str">
        <f t="shared" si="13"/>
        <v>October-2024</v>
      </c>
      <c r="C196" t="s">
        <v>62</v>
      </c>
      <c r="D196" t="s">
        <v>108</v>
      </c>
      <c r="E196" t="s">
        <v>85</v>
      </c>
      <c r="F196" s="4">
        <v>170</v>
      </c>
      <c r="G196" t="s">
        <v>81</v>
      </c>
      <c r="H196" t="s">
        <v>97</v>
      </c>
      <c r="I196" t="s">
        <v>315</v>
      </c>
      <c r="J196" t="s">
        <v>83</v>
      </c>
      <c r="K196" s="1">
        <v>45593</v>
      </c>
      <c r="L196" t="s">
        <v>83</v>
      </c>
      <c r="M196">
        <f t="shared" si="12"/>
        <v>5</v>
      </c>
      <c r="N196" s="16">
        <f t="shared" si="14"/>
        <v>3.6</v>
      </c>
      <c r="O196" t="str">
        <f t="shared" si="15"/>
        <v>Delayed</v>
      </c>
      <c r="P196" t="s">
        <v>364</v>
      </c>
    </row>
    <row r="197" spans="1:16" x14ac:dyDescent="0.35">
      <c r="A197" s="1">
        <v>45588</v>
      </c>
      <c r="B197" s="1" t="str">
        <f t="shared" si="13"/>
        <v>October-2024</v>
      </c>
      <c r="C197" t="s">
        <v>63</v>
      </c>
      <c r="D197" t="s">
        <v>108</v>
      </c>
      <c r="E197" t="s">
        <v>85</v>
      </c>
      <c r="F197" s="4">
        <v>90</v>
      </c>
      <c r="G197" t="s">
        <v>81</v>
      </c>
      <c r="H197" t="s">
        <v>89</v>
      </c>
      <c r="I197" t="s">
        <v>315</v>
      </c>
      <c r="J197" t="s">
        <v>83</v>
      </c>
      <c r="K197" s="1">
        <v>45590</v>
      </c>
      <c r="L197" t="s">
        <v>83</v>
      </c>
      <c r="M197">
        <f t="shared" si="12"/>
        <v>2</v>
      </c>
      <c r="N197" s="16">
        <f t="shared" si="14"/>
        <v>1.7</v>
      </c>
      <c r="O197" t="str">
        <f t="shared" si="15"/>
        <v>Delayed</v>
      </c>
      <c r="P197" t="s">
        <v>364</v>
      </c>
    </row>
    <row r="198" spans="1:16" x14ac:dyDescent="0.35">
      <c r="A198" s="1">
        <v>45588</v>
      </c>
      <c r="B198" s="1" t="str">
        <f t="shared" si="13"/>
        <v>October-2024</v>
      </c>
      <c r="C198" t="s">
        <v>306</v>
      </c>
      <c r="D198" t="s">
        <v>142</v>
      </c>
      <c r="E198" t="s">
        <v>85</v>
      </c>
      <c r="F198" s="4">
        <v>540</v>
      </c>
      <c r="G198" t="s">
        <v>81</v>
      </c>
      <c r="H198" t="s">
        <v>297</v>
      </c>
      <c r="I198" t="s">
        <v>315</v>
      </c>
      <c r="J198" t="s">
        <v>83</v>
      </c>
      <c r="K198" s="1">
        <v>45591</v>
      </c>
      <c r="L198" t="s">
        <v>83</v>
      </c>
      <c r="M198">
        <f t="shared" si="12"/>
        <v>3</v>
      </c>
      <c r="N198" s="16">
        <f t="shared" si="14"/>
        <v>3</v>
      </c>
      <c r="O198" t="str">
        <f t="shared" si="15"/>
        <v>On Time</v>
      </c>
      <c r="P198" t="s">
        <v>364</v>
      </c>
    </row>
    <row r="199" spans="1:16" x14ac:dyDescent="0.35">
      <c r="A199" s="1">
        <v>45588</v>
      </c>
      <c r="B199" s="1" t="str">
        <f t="shared" si="13"/>
        <v>October-2024</v>
      </c>
      <c r="C199" t="s">
        <v>307</v>
      </c>
      <c r="D199" t="s">
        <v>142</v>
      </c>
      <c r="E199" t="s">
        <v>85</v>
      </c>
      <c r="F199" s="4">
        <v>310</v>
      </c>
      <c r="G199" t="s">
        <v>81</v>
      </c>
      <c r="H199" t="s">
        <v>87</v>
      </c>
      <c r="I199" t="s">
        <v>315</v>
      </c>
      <c r="J199" t="s">
        <v>83</v>
      </c>
      <c r="K199" s="1">
        <v>45590</v>
      </c>
      <c r="L199" t="s">
        <v>83</v>
      </c>
      <c r="M199">
        <f t="shared" si="12"/>
        <v>2</v>
      </c>
      <c r="N199" s="16">
        <f t="shared" si="14"/>
        <v>3.5185185185185186</v>
      </c>
      <c r="O199" t="str">
        <f t="shared" si="15"/>
        <v>On Time</v>
      </c>
      <c r="P199" t="s">
        <v>364</v>
      </c>
    </row>
    <row r="200" spans="1:16" x14ac:dyDescent="0.35">
      <c r="A200" s="1">
        <v>45589</v>
      </c>
      <c r="B200" s="1" t="str">
        <f t="shared" si="13"/>
        <v>October-2024</v>
      </c>
      <c r="C200" t="s">
        <v>64</v>
      </c>
      <c r="D200" t="s">
        <v>108</v>
      </c>
      <c r="E200" t="s">
        <v>85</v>
      </c>
      <c r="F200" s="4">
        <v>90</v>
      </c>
      <c r="G200" t="s">
        <v>81</v>
      </c>
      <c r="H200" t="s">
        <v>89</v>
      </c>
      <c r="I200" t="s">
        <v>315</v>
      </c>
      <c r="J200" t="s">
        <v>83</v>
      </c>
      <c r="K200" s="1">
        <v>45590</v>
      </c>
      <c r="L200" t="s">
        <v>83</v>
      </c>
      <c r="M200">
        <f t="shared" si="12"/>
        <v>1</v>
      </c>
      <c r="N200" s="16">
        <f t="shared" si="14"/>
        <v>1.7</v>
      </c>
      <c r="O200" t="str">
        <f t="shared" si="15"/>
        <v>On Time</v>
      </c>
      <c r="P200" t="s">
        <v>365</v>
      </c>
    </row>
    <row r="201" spans="1:16" x14ac:dyDescent="0.35">
      <c r="A201" s="1">
        <v>45589</v>
      </c>
      <c r="B201" s="1" t="str">
        <f t="shared" si="13"/>
        <v>October-2024</v>
      </c>
      <c r="C201" t="s">
        <v>65</v>
      </c>
      <c r="D201" t="s">
        <v>108</v>
      </c>
      <c r="E201" t="s">
        <v>85</v>
      </c>
      <c r="F201" s="4">
        <v>1070</v>
      </c>
      <c r="G201" t="s">
        <v>81</v>
      </c>
      <c r="H201" t="s">
        <v>89</v>
      </c>
      <c r="I201" t="s">
        <v>315</v>
      </c>
      <c r="J201" t="s">
        <v>94</v>
      </c>
      <c r="K201" s="1">
        <v>45591</v>
      </c>
      <c r="L201" t="s">
        <v>83</v>
      </c>
      <c r="M201">
        <f t="shared" si="12"/>
        <v>2</v>
      </c>
      <c r="N201" s="16">
        <f t="shared" si="14"/>
        <v>1.7</v>
      </c>
      <c r="O201" t="str">
        <f t="shared" si="15"/>
        <v>Delayed</v>
      </c>
      <c r="P201" t="s">
        <v>365</v>
      </c>
    </row>
    <row r="202" spans="1:16" x14ac:dyDescent="0.35">
      <c r="A202" s="1">
        <v>45589</v>
      </c>
      <c r="B202" s="1" t="str">
        <f t="shared" si="13"/>
        <v>October-2024</v>
      </c>
      <c r="C202" t="s">
        <v>66</v>
      </c>
      <c r="D202" t="s">
        <v>108</v>
      </c>
      <c r="E202" t="s">
        <v>85</v>
      </c>
      <c r="F202" s="4">
        <v>90</v>
      </c>
      <c r="G202" t="s">
        <v>81</v>
      </c>
      <c r="H202" t="s">
        <v>90</v>
      </c>
      <c r="I202" t="s">
        <v>315</v>
      </c>
      <c r="J202" t="s">
        <v>83</v>
      </c>
      <c r="K202" s="1">
        <v>45591</v>
      </c>
      <c r="L202" t="s">
        <v>83</v>
      </c>
      <c r="M202">
        <f t="shared" si="12"/>
        <v>2</v>
      </c>
      <c r="N202" s="16">
        <f t="shared" si="14"/>
        <v>2.0555555555555554</v>
      </c>
      <c r="O202" t="str">
        <f t="shared" si="15"/>
        <v>On Time</v>
      </c>
      <c r="P202" t="s">
        <v>365</v>
      </c>
    </row>
    <row r="203" spans="1:16" x14ac:dyDescent="0.35">
      <c r="A203" s="1">
        <v>45589</v>
      </c>
      <c r="B203" s="1" t="str">
        <f t="shared" si="13"/>
        <v>October-2024</v>
      </c>
      <c r="C203" t="s">
        <v>67</v>
      </c>
      <c r="D203" t="s">
        <v>108</v>
      </c>
      <c r="E203" t="s">
        <v>85</v>
      </c>
      <c r="F203" s="4">
        <v>150</v>
      </c>
      <c r="G203" t="s">
        <v>81</v>
      </c>
      <c r="H203" t="s">
        <v>89</v>
      </c>
      <c r="I203" t="s">
        <v>315</v>
      </c>
      <c r="J203" t="s">
        <v>83</v>
      </c>
      <c r="K203" s="1">
        <v>45591</v>
      </c>
      <c r="L203" t="s">
        <v>83</v>
      </c>
      <c r="M203">
        <f t="shared" si="12"/>
        <v>2</v>
      </c>
      <c r="N203" s="16">
        <f t="shared" si="14"/>
        <v>1.7</v>
      </c>
      <c r="O203" t="str">
        <f t="shared" si="15"/>
        <v>Delayed</v>
      </c>
      <c r="P203" t="s">
        <v>365</v>
      </c>
    </row>
    <row r="204" spans="1:16" x14ac:dyDescent="0.35">
      <c r="A204" s="1">
        <v>45589</v>
      </c>
      <c r="B204" s="1" t="str">
        <f t="shared" si="13"/>
        <v>October-2024</v>
      </c>
      <c r="C204" t="s">
        <v>68</v>
      </c>
      <c r="D204" t="s">
        <v>108</v>
      </c>
      <c r="E204" t="s">
        <v>85</v>
      </c>
      <c r="F204" s="4">
        <v>540</v>
      </c>
      <c r="G204" t="s">
        <v>81</v>
      </c>
      <c r="H204" t="s">
        <v>92</v>
      </c>
      <c r="I204" t="s">
        <v>315</v>
      </c>
      <c r="J204" t="s">
        <v>83</v>
      </c>
      <c r="K204" s="1">
        <v>45591</v>
      </c>
      <c r="L204" t="s">
        <v>83</v>
      </c>
      <c r="M204">
        <f t="shared" si="12"/>
        <v>2</v>
      </c>
      <c r="N204" s="16">
        <f t="shared" si="14"/>
        <v>2.1666666666666665</v>
      </c>
      <c r="O204" t="str">
        <f t="shared" si="15"/>
        <v>On Time</v>
      </c>
      <c r="P204" t="s">
        <v>365</v>
      </c>
    </row>
    <row r="205" spans="1:16" x14ac:dyDescent="0.35">
      <c r="A205" s="1">
        <v>45589</v>
      </c>
      <c r="B205" s="1" t="str">
        <f t="shared" si="13"/>
        <v>October-2024</v>
      </c>
      <c r="C205" t="s">
        <v>69</v>
      </c>
      <c r="D205" t="s">
        <v>108</v>
      </c>
      <c r="E205" t="s">
        <v>85</v>
      </c>
      <c r="F205" s="4">
        <v>750</v>
      </c>
      <c r="G205" t="s">
        <v>81</v>
      </c>
      <c r="H205" t="s">
        <v>97</v>
      </c>
      <c r="I205" t="s">
        <v>315</v>
      </c>
      <c r="J205" t="s">
        <v>83</v>
      </c>
      <c r="K205" s="1">
        <v>45592</v>
      </c>
      <c r="L205" t="s">
        <v>83</v>
      </c>
      <c r="M205">
        <f t="shared" si="12"/>
        <v>3</v>
      </c>
      <c r="N205" s="16">
        <f t="shared" si="14"/>
        <v>3.6</v>
      </c>
      <c r="O205" t="str">
        <f t="shared" si="15"/>
        <v>On Time</v>
      </c>
      <c r="P205" t="s">
        <v>365</v>
      </c>
    </row>
    <row r="206" spans="1:16" x14ac:dyDescent="0.35">
      <c r="A206" s="1">
        <v>45589</v>
      </c>
      <c r="B206" s="1" t="str">
        <f t="shared" si="13"/>
        <v>October-2024</v>
      </c>
      <c r="C206" t="s">
        <v>308</v>
      </c>
      <c r="D206" t="s">
        <v>142</v>
      </c>
      <c r="E206" t="s">
        <v>85</v>
      </c>
      <c r="F206" s="4">
        <v>390</v>
      </c>
      <c r="G206" t="s">
        <v>81</v>
      </c>
      <c r="H206" t="s">
        <v>298</v>
      </c>
      <c r="I206" t="s">
        <v>315</v>
      </c>
      <c r="J206" t="s">
        <v>83</v>
      </c>
      <c r="K206" s="1">
        <v>45593</v>
      </c>
      <c r="L206" t="s">
        <v>83</v>
      </c>
      <c r="M206">
        <f t="shared" si="12"/>
        <v>4</v>
      </c>
      <c r="N206" s="16">
        <f t="shared" si="14"/>
        <v>4</v>
      </c>
      <c r="O206" t="str">
        <f t="shared" si="15"/>
        <v>On Time</v>
      </c>
      <c r="P206" t="s">
        <v>365</v>
      </c>
    </row>
    <row r="207" spans="1:16" x14ac:dyDescent="0.35">
      <c r="A207" s="1">
        <v>45589</v>
      </c>
      <c r="B207" s="1" t="str">
        <f t="shared" si="13"/>
        <v>October-2024</v>
      </c>
      <c r="C207" t="s">
        <v>309</v>
      </c>
      <c r="D207" t="s">
        <v>142</v>
      </c>
      <c r="E207" t="s">
        <v>85</v>
      </c>
      <c r="F207" s="4">
        <v>310</v>
      </c>
      <c r="G207" t="s">
        <v>81</v>
      </c>
      <c r="H207" t="s">
        <v>89</v>
      </c>
      <c r="I207" t="s">
        <v>315</v>
      </c>
      <c r="J207" t="s">
        <v>83</v>
      </c>
      <c r="K207" s="1">
        <v>45590</v>
      </c>
      <c r="L207" t="s">
        <v>83</v>
      </c>
      <c r="M207">
        <f t="shared" si="12"/>
        <v>1</v>
      </c>
      <c r="N207" s="16">
        <f t="shared" si="14"/>
        <v>1.7</v>
      </c>
      <c r="O207" t="str">
        <f t="shared" si="15"/>
        <v>On Time</v>
      </c>
      <c r="P207" t="s">
        <v>365</v>
      </c>
    </row>
    <row r="208" spans="1:16" x14ac:dyDescent="0.35">
      <c r="A208" s="1">
        <v>45590</v>
      </c>
      <c r="B208" s="1" t="str">
        <f t="shared" si="13"/>
        <v>October-2024</v>
      </c>
      <c r="C208" t="s">
        <v>70</v>
      </c>
      <c r="D208" t="s">
        <v>108</v>
      </c>
      <c r="E208" t="s">
        <v>85</v>
      </c>
      <c r="F208" s="4">
        <v>150</v>
      </c>
      <c r="G208" t="s">
        <v>81</v>
      </c>
      <c r="H208" t="s">
        <v>99</v>
      </c>
      <c r="I208" t="s">
        <v>315</v>
      </c>
      <c r="J208" t="s">
        <v>98</v>
      </c>
      <c r="K208" s="1">
        <v>45595</v>
      </c>
      <c r="L208" t="s">
        <v>83</v>
      </c>
      <c r="M208">
        <f t="shared" si="12"/>
        <v>5</v>
      </c>
      <c r="N208" s="16">
        <f t="shared" si="14"/>
        <v>5</v>
      </c>
      <c r="O208" t="str">
        <f t="shared" si="15"/>
        <v>On Time</v>
      </c>
      <c r="P208" t="s">
        <v>366</v>
      </c>
    </row>
    <row r="209" spans="1:16" x14ac:dyDescent="0.35">
      <c r="A209" s="1">
        <v>45590</v>
      </c>
      <c r="B209" s="1" t="str">
        <f t="shared" si="13"/>
        <v>October-2024</v>
      </c>
      <c r="C209" t="s">
        <v>71</v>
      </c>
      <c r="D209" t="s">
        <v>108</v>
      </c>
      <c r="E209" t="s">
        <v>85</v>
      </c>
      <c r="F209" s="4">
        <v>150</v>
      </c>
      <c r="G209" t="s">
        <v>81</v>
      </c>
      <c r="H209" t="s">
        <v>88</v>
      </c>
      <c r="I209" t="s">
        <v>315</v>
      </c>
      <c r="J209" t="s">
        <v>83</v>
      </c>
      <c r="K209" s="1">
        <v>45591</v>
      </c>
      <c r="L209" t="s">
        <v>83</v>
      </c>
      <c r="M209">
        <f t="shared" si="12"/>
        <v>1</v>
      </c>
      <c r="N209" s="16">
        <f t="shared" si="14"/>
        <v>2.406779661016949</v>
      </c>
      <c r="O209" t="str">
        <f t="shared" si="15"/>
        <v>On Time</v>
      </c>
      <c r="P209" t="s">
        <v>366</v>
      </c>
    </row>
    <row r="210" spans="1:16" x14ac:dyDescent="0.35">
      <c r="A210" s="1">
        <v>45590</v>
      </c>
      <c r="B210" s="1" t="str">
        <f t="shared" si="13"/>
        <v>October-2024</v>
      </c>
      <c r="C210" t="s">
        <v>72</v>
      </c>
      <c r="D210" t="s">
        <v>108</v>
      </c>
      <c r="E210" t="s">
        <v>85</v>
      </c>
      <c r="F210" s="4">
        <v>380</v>
      </c>
      <c r="G210" t="s">
        <v>81</v>
      </c>
      <c r="H210" t="s">
        <v>89</v>
      </c>
      <c r="I210" t="s">
        <v>315</v>
      </c>
      <c r="J210" t="s">
        <v>100</v>
      </c>
      <c r="K210" s="1">
        <v>45593</v>
      </c>
      <c r="L210" t="s">
        <v>83</v>
      </c>
      <c r="M210">
        <f t="shared" si="12"/>
        <v>3</v>
      </c>
      <c r="N210" s="16">
        <f t="shared" si="14"/>
        <v>1.7</v>
      </c>
      <c r="O210" t="str">
        <f t="shared" si="15"/>
        <v>Delayed</v>
      </c>
      <c r="P210" t="s">
        <v>366</v>
      </c>
    </row>
    <row r="211" spans="1:16" x14ac:dyDescent="0.35">
      <c r="A211" s="1">
        <v>45590</v>
      </c>
      <c r="B211" s="1" t="str">
        <f t="shared" si="13"/>
        <v>October-2024</v>
      </c>
      <c r="C211" t="s">
        <v>73</v>
      </c>
      <c r="D211" t="s">
        <v>108</v>
      </c>
      <c r="E211" t="s">
        <v>85</v>
      </c>
      <c r="F211" s="4">
        <v>650</v>
      </c>
      <c r="G211" t="s">
        <v>81</v>
      </c>
      <c r="H211" t="s">
        <v>101</v>
      </c>
      <c r="I211" t="s">
        <v>315</v>
      </c>
      <c r="J211" t="s">
        <v>83</v>
      </c>
      <c r="K211" s="1">
        <v>45596</v>
      </c>
      <c r="L211" t="s">
        <v>83</v>
      </c>
      <c r="M211">
        <f t="shared" si="12"/>
        <v>6</v>
      </c>
      <c r="N211" s="16">
        <f t="shared" si="14"/>
        <v>6</v>
      </c>
      <c r="O211" t="str">
        <f t="shared" si="15"/>
        <v>On Time</v>
      </c>
      <c r="P211" t="s">
        <v>366</v>
      </c>
    </row>
    <row r="212" spans="1:16" x14ac:dyDescent="0.35">
      <c r="A212" s="1">
        <v>45590</v>
      </c>
      <c r="B212" s="1" t="str">
        <f t="shared" si="13"/>
        <v>October-2024</v>
      </c>
      <c r="C212" t="s">
        <v>9</v>
      </c>
      <c r="D212" t="s">
        <v>108</v>
      </c>
      <c r="E212" t="s">
        <v>85</v>
      </c>
      <c r="F212" s="4">
        <v>90</v>
      </c>
      <c r="G212" t="s">
        <v>81</v>
      </c>
      <c r="H212" t="s">
        <v>88</v>
      </c>
      <c r="I212" t="s">
        <v>315</v>
      </c>
      <c r="J212" t="s">
        <v>83</v>
      </c>
      <c r="K212" s="1">
        <v>45593</v>
      </c>
      <c r="L212" t="s">
        <v>83</v>
      </c>
      <c r="M212">
        <f t="shared" si="12"/>
        <v>3</v>
      </c>
      <c r="N212" s="16">
        <f t="shared" si="14"/>
        <v>2.406779661016949</v>
      </c>
      <c r="O212" t="str">
        <f t="shared" si="15"/>
        <v>Delayed</v>
      </c>
      <c r="P212" t="s">
        <v>366</v>
      </c>
    </row>
    <row r="213" spans="1:16" x14ac:dyDescent="0.35">
      <c r="A213" s="1">
        <v>45590</v>
      </c>
      <c r="B213" s="1" t="str">
        <f t="shared" si="13"/>
        <v>October-2024</v>
      </c>
      <c r="C213" t="s">
        <v>10</v>
      </c>
      <c r="D213" t="s">
        <v>108</v>
      </c>
      <c r="E213" t="s">
        <v>85</v>
      </c>
      <c r="F213" s="4">
        <v>70</v>
      </c>
      <c r="G213" t="s">
        <v>81</v>
      </c>
      <c r="H213" t="s">
        <v>88</v>
      </c>
      <c r="I213" t="s">
        <v>315</v>
      </c>
      <c r="J213" t="s">
        <v>83</v>
      </c>
      <c r="K213" s="1">
        <v>45593</v>
      </c>
      <c r="L213" t="s">
        <v>83</v>
      </c>
      <c r="M213">
        <f t="shared" si="12"/>
        <v>3</v>
      </c>
      <c r="N213" s="16">
        <f t="shared" si="14"/>
        <v>2.406779661016949</v>
      </c>
      <c r="O213" t="str">
        <f t="shared" si="15"/>
        <v>Delayed</v>
      </c>
      <c r="P213" t="s">
        <v>366</v>
      </c>
    </row>
    <row r="214" spans="1:16" x14ac:dyDescent="0.35">
      <c r="A214" s="1">
        <v>45590</v>
      </c>
      <c r="B214" s="1" t="str">
        <f t="shared" si="13"/>
        <v>October-2024</v>
      </c>
      <c r="C214" t="s">
        <v>11</v>
      </c>
      <c r="D214" t="s">
        <v>108</v>
      </c>
      <c r="E214" t="s">
        <v>85</v>
      </c>
      <c r="F214" s="4">
        <v>70</v>
      </c>
      <c r="G214" t="s">
        <v>81</v>
      </c>
      <c r="H214" t="s">
        <v>88</v>
      </c>
      <c r="I214" t="s">
        <v>315</v>
      </c>
      <c r="J214" t="s">
        <v>83</v>
      </c>
      <c r="K214" s="1">
        <v>45593</v>
      </c>
      <c r="L214" t="s">
        <v>83</v>
      </c>
      <c r="M214">
        <f t="shared" si="12"/>
        <v>3</v>
      </c>
      <c r="N214" s="16">
        <f t="shared" si="14"/>
        <v>2.406779661016949</v>
      </c>
      <c r="O214" t="str">
        <f t="shared" si="15"/>
        <v>Delayed</v>
      </c>
      <c r="P214" t="s">
        <v>366</v>
      </c>
    </row>
    <row r="215" spans="1:16" x14ac:dyDescent="0.35">
      <c r="A215" s="1">
        <v>45590</v>
      </c>
      <c r="B215" s="1" t="str">
        <f t="shared" si="13"/>
        <v>October-2024</v>
      </c>
      <c r="C215" t="s">
        <v>12</v>
      </c>
      <c r="D215" t="s">
        <v>108</v>
      </c>
      <c r="E215" t="s">
        <v>85</v>
      </c>
      <c r="F215" s="4">
        <v>90</v>
      </c>
      <c r="G215" t="s">
        <v>81</v>
      </c>
      <c r="H215" t="s">
        <v>88</v>
      </c>
      <c r="I215" t="s">
        <v>315</v>
      </c>
      <c r="J215" t="s">
        <v>83</v>
      </c>
      <c r="K215" s="1">
        <v>45593</v>
      </c>
      <c r="L215" t="s">
        <v>83</v>
      </c>
      <c r="M215">
        <f t="shared" si="12"/>
        <v>3</v>
      </c>
      <c r="N215" s="16">
        <f t="shared" si="14"/>
        <v>2.406779661016949</v>
      </c>
      <c r="O215" t="str">
        <f t="shared" si="15"/>
        <v>Delayed</v>
      </c>
      <c r="P215" t="s">
        <v>366</v>
      </c>
    </row>
    <row r="216" spans="1:16" x14ac:dyDescent="0.35">
      <c r="A216" s="1">
        <v>45590</v>
      </c>
      <c r="B216" s="1" t="str">
        <f t="shared" si="13"/>
        <v>October-2024</v>
      </c>
      <c r="C216" t="s">
        <v>13</v>
      </c>
      <c r="D216" t="s">
        <v>108</v>
      </c>
      <c r="E216" t="s">
        <v>85</v>
      </c>
      <c r="F216" s="4">
        <v>70</v>
      </c>
      <c r="G216" t="s">
        <v>81</v>
      </c>
      <c r="H216" t="s">
        <v>88</v>
      </c>
      <c r="I216" t="s">
        <v>315</v>
      </c>
      <c r="J216" t="s">
        <v>83</v>
      </c>
      <c r="K216" s="1">
        <v>45593</v>
      </c>
      <c r="L216" t="s">
        <v>83</v>
      </c>
      <c r="M216">
        <f t="shared" si="12"/>
        <v>3</v>
      </c>
      <c r="N216" s="16">
        <f t="shared" si="14"/>
        <v>2.406779661016949</v>
      </c>
      <c r="O216" t="str">
        <f t="shared" si="15"/>
        <v>Delayed</v>
      </c>
      <c r="P216" t="s">
        <v>366</v>
      </c>
    </row>
    <row r="217" spans="1:16" x14ac:dyDescent="0.35">
      <c r="A217" s="1">
        <v>45590</v>
      </c>
      <c r="B217" s="1" t="str">
        <f t="shared" si="13"/>
        <v>October-2024</v>
      </c>
      <c r="C217" t="s">
        <v>14</v>
      </c>
      <c r="D217" t="s">
        <v>108</v>
      </c>
      <c r="E217" t="s">
        <v>85</v>
      </c>
      <c r="F217" s="4">
        <v>90</v>
      </c>
      <c r="G217" t="s">
        <v>81</v>
      </c>
      <c r="H217" t="s">
        <v>88</v>
      </c>
      <c r="I217" t="s">
        <v>315</v>
      </c>
      <c r="J217" t="s">
        <v>83</v>
      </c>
      <c r="K217" s="1">
        <v>45593</v>
      </c>
      <c r="L217" t="s">
        <v>83</v>
      </c>
      <c r="M217">
        <f t="shared" si="12"/>
        <v>3</v>
      </c>
      <c r="N217" s="16">
        <f t="shared" si="14"/>
        <v>2.406779661016949</v>
      </c>
      <c r="O217" t="str">
        <f t="shared" si="15"/>
        <v>Delayed</v>
      </c>
      <c r="P217" t="s">
        <v>366</v>
      </c>
    </row>
    <row r="218" spans="1:16" x14ac:dyDescent="0.35">
      <c r="A218" s="1">
        <v>45590</v>
      </c>
      <c r="B218" s="1" t="str">
        <f t="shared" si="13"/>
        <v>October-2024</v>
      </c>
      <c r="C218" t="s">
        <v>74</v>
      </c>
      <c r="D218" t="s">
        <v>108</v>
      </c>
      <c r="E218" t="s">
        <v>85</v>
      </c>
      <c r="F218" s="4">
        <v>90</v>
      </c>
      <c r="G218" t="s">
        <v>81</v>
      </c>
      <c r="H218" t="s">
        <v>90</v>
      </c>
      <c r="I218" t="s">
        <v>315</v>
      </c>
      <c r="J218" t="s">
        <v>83</v>
      </c>
      <c r="K218" s="1">
        <v>45593</v>
      </c>
      <c r="L218" t="s">
        <v>83</v>
      </c>
      <c r="M218">
        <f t="shared" si="12"/>
        <v>3</v>
      </c>
      <c r="N218" s="16">
        <f t="shared" si="14"/>
        <v>2.0555555555555554</v>
      </c>
      <c r="O218" t="str">
        <f t="shared" si="15"/>
        <v>Delayed</v>
      </c>
      <c r="P218" t="s">
        <v>366</v>
      </c>
    </row>
    <row r="219" spans="1:16" x14ac:dyDescent="0.35">
      <c r="A219" s="1">
        <v>45590</v>
      </c>
      <c r="B219" s="1" t="str">
        <f t="shared" si="13"/>
        <v>October-2024</v>
      </c>
      <c r="C219" t="s">
        <v>75</v>
      </c>
      <c r="D219" t="s">
        <v>108</v>
      </c>
      <c r="E219" t="s">
        <v>85</v>
      </c>
      <c r="F219" s="4">
        <v>150</v>
      </c>
      <c r="G219" t="s">
        <v>81</v>
      </c>
      <c r="H219" t="s">
        <v>102</v>
      </c>
      <c r="I219" t="s">
        <v>315</v>
      </c>
      <c r="J219" t="s">
        <v>83</v>
      </c>
      <c r="K219" s="1">
        <v>45600</v>
      </c>
      <c r="L219" t="s">
        <v>83</v>
      </c>
      <c r="M219">
        <f t="shared" si="12"/>
        <v>10</v>
      </c>
      <c r="N219" s="16">
        <f t="shared" si="14"/>
        <v>10</v>
      </c>
      <c r="O219" t="str">
        <f t="shared" si="15"/>
        <v>On Time</v>
      </c>
      <c r="P219" t="s">
        <v>366</v>
      </c>
    </row>
    <row r="220" spans="1:16" x14ac:dyDescent="0.35">
      <c r="A220" s="1">
        <v>45590</v>
      </c>
      <c r="B220" s="1" t="str">
        <f t="shared" si="13"/>
        <v>October-2024</v>
      </c>
      <c r="C220" t="s">
        <v>76</v>
      </c>
      <c r="D220" t="s">
        <v>108</v>
      </c>
      <c r="E220" t="s">
        <v>85</v>
      </c>
      <c r="F220" s="4">
        <v>210</v>
      </c>
      <c r="G220" t="s">
        <v>81</v>
      </c>
      <c r="H220" t="s">
        <v>103</v>
      </c>
      <c r="I220" t="s">
        <v>315</v>
      </c>
      <c r="J220" t="s">
        <v>83</v>
      </c>
      <c r="K220" s="1">
        <v>45593</v>
      </c>
      <c r="L220" t="s">
        <v>83</v>
      </c>
      <c r="M220">
        <f t="shared" si="12"/>
        <v>3</v>
      </c>
      <c r="N220" s="16">
        <f t="shared" si="14"/>
        <v>3</v>
      </c>
      <c r="O220" t="str">
        <f t="shared" si="15"/>
        <v>On Time</v>
      </c>
      <c r="P220" t="s">
        <v>366</v>
      </c>
    </row>
    <row r="221" spans="1:16" x14ac:dyDescent="0.35">
      <c r="A221" s="1">
        <v>45591</v>
      </c>
      <c r="B221" s="1" t="str">
        <f t="shared" si="13"/>
        <v>October-2024</v>
      </c>
      <c r="C221" t="s">
        <v>77</v>
      </c>
      <c r="D221" t="s">
        <v>108</v>
      </c>
      <c r="E221" t="s">
        <v>104</v>
      </c>
      <c r="F221" s="4">
        <v>360</v>
      </c>
      <c r="G221" t="s">
        <v>81</v>
      </c>
      <c r="H221" t="s">
        <v>105</v>
      </c>
      <c r="I221" t="s">
        <v>315</v>
      </c>
      <c r="J221" t="s">
        <v>83</v>
      </c>
      <c r="K221" s="1">
        <v>45594</v>
      </c>
      <c r="L221" s="1">
        <v>45610</v>
      </c>
      <c r="M221" t="s">
        <v>83</v>
      </c>
      <c r="N221" t="s">
        <v>83</v>
      </c>
      <c r="O221" t="s">
        <v>83</v>
      </c>
      <c r="P221" t="s">
        <v>367</v>
      </c>
    </row>
    <row r="222" spans="1:16" x14ac:dyDescent="0.35">
      <c r="A222" s="1">
        <v>45591</v>
      </c>
      <c r="B222" s="1" t="str">
        <f t="shared" si="13"/>
        <v>October-2024</v>
      </c>
      <c r="C222" t="s">
        <v>78</v>
      </c>
      <c r="D222" t="s">
        <v>108</v>
      </c>
      <c r="E222" t="s">
        <v>85</v>
      </c>
      <c r="F222" s="4">
        <v>150</v>
      </c>
      <c r="G222" t="s">
        <v>81</v>
      </c>
      <c r="H222" t="s">
        <v>89</v>
      </c>
      <c r="I222" t="s">
        <v>315</v>
      </c>
      <c r="J222" t="s">
        <v>83</v>
      </c>
      <c r="K222" s="1">
        <v>45594</v>
      </c>
      <c r="L222" t="s">
        <v>83</v>
      </c>
      <c r="M222">
        <f t="shared" si="12"/>
        <v>3</v>
      </c>
      <c r="N222" s="16">
        <f t="shared" si="14"/>
        <v>1.7</v>
      </c>
      <c r="O222" t="str">
        <f t="shared" si="15"/>
        <v>Delayed</v>
      </c>
      <c r="P222" t="s">
        <v>367</v>
      </c>
    </row>
    <row r="223" spans="1:16" x14ac:dyDescent="0.35">
      <c r="A223" s="1">
        <v>45591</v>
      </c>
      <c r="B223" s="1" t="str">
        <f t="shared" si="13"/>
        <v>October-2024</v>
      </c>
      <c r="C223" t="s">
        <v>79</v>
      </c>
      <c r="D223" t="s">
        <v>108</v>
      </c>
      <c r="E223" t="s">
        <v>85</v>
      </c>
      <c r="F223" s="4">
        <v>120</v>
      </c>
      <c r="G223" t="s">
        <v>81</v>
      </c>
      <c r="H223" t="s">
        <v>92</v>
      </c>
      <c r="I223" t="s">
        <v>315</v>
      </c>
      <c r="J223" t="s">
        <v>106</v>
      </c>
      <c r="K223" s="1">
        <v>45594</v>
      </c>
      <c r="L223" t="s">
        <v>83</v>
      </c>
      <c r="M223">
        <f t="shared" si="12"/>
        <v>3</v>
      </c>
      <c r="N223" s="16">
        <f t="shared" si="14"/>
        <v>2.1666666666666665</v>
      </c>
      <c r="O223" t="str">
        <f t="shared" si="15"/>
        <v>Delayed</v>
      </c>
      <c r="P223" t="s">
        <v>367</v>
      </c>
    </row>
    <row r="224" spans="1:16" x14ac:dyDescent="0.35">
      <c r="A224" s="1">
        <v>45591</v>
      </c>
      <c r="B224" s="1" t="str">
        <f t="shared" si="13"/>
        <v>October-2024</v>
      </c>
      <c r="C224" t="s">
        <v>80</v>
      </c>
      <c r="D224" t="s">
        <v>108</v>
      </c>
      <c r="E224" t="s">
        <v>85</v>
      </c>
      <c r="F224" s="4">
        <v>150</v>
      </c>
      <c r="G224" t="s">
        <v>81</v>
      </c>
      <c r="H224" t="s">
        <v>90</v>
      </c>
      <c r="I224" t="s">
        <v>315</v>
      </c>
      <c r="J224" t="s">
        <v>94</v>
      </c>
      <c r="K224" s="1">
        <v>45593</v>
      </c>
      <c r="L224" t="s">
        <v>83</v>
      </c>
      <c r="M224">
        <f t="shared" si="12"/>
        <v>2</v>
      </c>
      <c r="N224" s="16">
        <f t="shared" si="14"/>
        <v>2.0555555555555554</v>
      </c>
      <c r="O224" t="str">
        <f t="shared" si="15"/>
        <v>On Time</v>
      </c>
      <c r="P224" t="s">
        <v>367</v>
      </c>
    </row>
    <row r="225" spans="1:16" x14ac:dyDescent="0.35">
      <c r="A225" s="1">
        <v>45593</v>
      </c>
      <c r="B225" s="1" t="str">
        <f t="shared" si="13"/>
        <v>October-2024</v>
      </c>
      <c r="C225" t="s">
        <v>310</v>
      </c>
      <c r="D225" t="s">
        <v>142</v>
      </c>
      <c r="E225" t="s">
        <v>85</v>
      </c>
      <c r="F225" s="4">
        <v>250</v>
      </c>
      <c r="G225" t="s">
        <v>81</v>
      </c>
      <c r="H225" t="s">
        <v>90</v>
      </c>
      <c r="I225" t="s">
        <v>315</v>
      </c>
      <c r="J225" t="s">
        <v>83</v>
      </c>
      <c r="K225" s="1">
        <v>45595</v>
      </c>
      <c r="L225" t="s">
        <v>83</v>
      </c>
      <c r="M225">
        <f t="shared" si="12"/>
        <v>2</v>
      </c>
      <c r="N225" s="16">
        <f t="shared" si="14"/>
        <v>2.0555555555555554</v>
      </c>
      <c r="O225" t="str">
        <f t="shared" si="15"/>
        <v>On Time</v>
      </c>
      <c r="P225" t="s">
        <v>362</v>
      </c>
    </row>
    <row r="226" spans="1:16" x14ac:dyDescent="0.35">
      <c r="A226" s="1">
        <v>45595</v>
      </c>
      <c r="B226" s="1" t="str">
        <f t="shared" si="13"/>
        <v>October-2024</v>
      </c>
      <c r="C226" t="s">
        <v>311</v>
      </c>
      <c r="D226" t="s">
        <v>142</v>
      </c>
      <c r="E226" t="s">
        <v>85</v>
      </c>
      <c r="F226" s="4">
        <v>240</v>
      </c>
      <c r="G226" t="s">
        <v>81</v>
      </c>
      <c r="H226" t="s">
        <v>299</v>
      </c>
      <c r="I226" t="s">
        <v>315</v>
      </c>
      <c r="J226" t="s">
        <v>83</v>
      </c>
      <c r="K226" s="1">
        <v>45598</v>
      </c>
      <c r="L226" t="s">
        <v>83</v>
      </c>
      <c r="M226">
        <f t="shared" si="12"/>
        <v>3</v>
      </c>
      <c r="N226" s="16">
        <f t="shared" si="14"/>
        <v>3</v>
      </c>
      <c r="O226" t="str">
        <f t="shared" si="15"/>
        <v>On Time</v>
      </c>
      <c r="P226" t="s">
        <v>364</v>
      </c>
    </row>
  </sheetData>
  <sortState xmlns:xlrd2="http://schemas.microsoft.com/office/spreadsheetml/2017/richdata2" ref="A2:L226">
    <sortCondition ref="A2:A226"/>
  </sortState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D210-57E9-49B9-92D6-14E31393D4ED}">
  <dimension ref="A1:B226"/>
  <sheetViews>
    <sheetView topLeftCell="A72" workbookViewId="0">
      <selection activeCell="B2" sqref="B2"/>
    </sheetView>
  </sheetViews>
  <sheetFormatPr defaultRowHeight="14.5" x14ac:dyDescent="0.35"/>
  <cols>
    <col min="1" max="1" width="17.1796875"/>
    <col min="2" max="2" width="17.6328125" customWidth="1"/>
  </cols>
  <sheetData>
    <row r="1" spans="1:2" x14ac:dyDescent="0.35">
      <c r="A1" s="15" t="s">
        <v>331</v>
      </c>
      <c r="B1" s="25" t="s">
        <v>380</v>
      </c>
    </row>
    <row r="2" spans="1:2" x14ac:dyDescent="0.35">
      <c r="A2" t="s">
        <v>379</v>
      </c>
      <c r="B2" t="s">
        <v>85</v>
      </c>
    </row>
    <row r="3" spans="1:2" x14ac:dyDescent="0.35">
      <c r="A3" t="s">
        <v>332</v>
      </c>
      <c r="B3" t="s">
        <v>85</v>
      </c>
    </row>
    <row r="4" spans="1:2" x14ac:dyDescent="0.35">
      <c r="A4" t="s">
        <v>332</v>
      </c>
      <c r="B4" t="s">
        <v>85</v>
      </c>
    </row>
    <row r="5" spans="1:2" x14ac:dyDescent="0.35">
      <c r="A5" t="s">
        <v>83</v>
      </c>
      <c r="B5" t="s">
        <v>104</v>
      </c>
    </row>
    <row r="6" spans="1:2" x14ac:dyDescent="0.35">
      <c r="A6" t="s">
        <v>379</v>
      </c>
      <c r="B6" t="s">
        <v>85</v>
      </c>
    </row>
    <row r="7" spans="1:2" x14ac:dyDescent="0.35">
      <c r="A7" t="s">
        <v>379</v>
      </c>
      <c r="B7" t="s">
        <v>85</v>
      </c>
    </row>
    <row r="8" spans="1:2" x14ac:dyDescent="0.35">
      <c r="A8" t="s">
        <v>379</v>
      </c>
      <c r="B8" t="s">
        <v>85</v>
      </c>
    </row>
    <row r="9" spans="1:2" x14ac:dyDescent="0.35">
      <c r="A9" t="s">
        <v>379</v>
      </c>
      <c r="B9" t="s">
        <v>85</v>
      </c>
    </row>
    <row r="10" spans="1:2" x14ac:dyDescent="0.35">
      <c r="A10" t="s">
        <v>332</v>
      </c>
      <c r="B10" t="s">
        <v>85</v>
      </c>
    </row>
    <row r="11" spans="1:2" x14ac:dyDescent="0.35">
      <c r="A11" t="s">
        <v>379</v>
      </c>
      <c r="B11" t="s">
        <v>85</v>
      </c>
    </row>
    <row r="12" spans="1:2" x14ac:dyDescent="0.35">
      <c r="A12" t="s">
        <v>379</v>
      </c>
      <c r="B12" t="s">
        <v>85</v>
      </c>
    </row>
    <row r="13" spans="1:2" x14ac:dyDescent="0.35">
      <c r="A13" t="s">
        <v>379</v>
      </c>
      <c r="B13" t="s">
        <v>85</v>
      </c>
    </row>
    <row r="14" spans="1:2" x14ac:dyDescent="0.35">
      <c r="A14" t="s">
        <v>332</v>
      </c>
      <c r="B14" t="s">
        <v>85</v>
      </c>
    </row>
    <row r="15" spans="1:2" x14ac:dyDescent="0.35">
      <c r="A15" t="s">
        <v>332</v>
      </c>
      <c r="B15" t="s">
        <v>85</v>
      </c>
    </row>
    <row r="16" spans="1:2" x14ac:dyDescent="0.35">
      <c r="A16" t="s">
        <v>379</v>
      </c>
      <c r="B16" t="s">
        <v>85</v>
      </c>
    </row>
    <row r="17" spans="1:2" x14ac:dyDescent="0.35">
      <c r="A17" t="s">
        <v>379</v>
      </c>
      <c r="B17" t="s">
        <v>85</v>
      </c>
    </row>
    <row r="18" spans="1:2" x14ac:dyDescent="0.35">
      <c r="A18" t="s">
        <v>379</v>
      </c>
      <c r="B18" t="s">
        <v>85</v>
      </c>
    </row>
    <row r="19" spans="1:2" x14ac:dyDescent="0.35">
      <c r="A19" t="s">
        <v>379</v>
      </c>
      <c r="B19" t="s">
        <v>85</v>
      </c>
    </row>
    <row r="20" spans="1:2" x14ac:dyDescent="0.35">
      <c r="A20" t="s">
        <v>379</v>
      </c>
      <c r="B20" t="s">
        <v>85</v>
      </c>
    </row>
    <row r="21" spans="1:2" x14ac:dyDescent="0.35">
      <c r="A21" t="s">
        <v>379</v>
      </c>
      <c r="B21" t="s">
        <v>85</v>
      </c>
    </row>
    <row r="22" spans="1:2" x14ac:dyDescent="0.35">
      <c r="A22" t="s">
        <v>379</v>
      </c>
      <c r="B22" t="s">
        <v>85</v>
      </c>
    </row>
    <row r="23" spans="1:2" x14ac:dyDescent="0.35">
      <c r="A23" t="s">
        <v>379</v>
      </c>
      <c r="B23" t="s">
        <v>85</v>
      </c>
    </row>
    <row r="24" spans="1:2" x14ac:dyDescent="0.35">
      <c r="A24" t="s">
        <v>379</v>
      </c>
      <c r="B24" t="s">
        <v>85</v>
      </c>
    </row>
    <row r="25" spans="1:2" x14ac:dyDescent="0.35">
      <c r="A25" t="s">
        <v>379</v>
      </c>
      <c r="B25" t="s">
        <v>85</v>
      </c>
    </row>
    <row r="26" spans="1:2" x14ac:dyDescent="0.35">
      <c r="A26" t="s">
        <v>332</v>
      </c>
      <c r="B26" t="s">
        <v>85</v>
      </c>
    </row>
    <row r="27" spans="1:2" x14ac:dyDescent="0.35">
      <c r="A27" t="s">
        <v>332</v>
      </c>
      <c r="B27" t="s">
        <v>85</v>
      </c>
    </row>
    <row r="28" spans="1:2" x14ac:dyDescent="0.35">
      <c r="A28" t="s">
        <v>332</v>
      </c>
      <c r="B28" t="s">
        <v>85</v>
      </c>
    </row>
    <row r="29" spans="1:2" x14ac:dyDescent="0.35">
      <c r="A29" t="s">
        <v>332</v>
      </c>
      <c r="B29" t="s">
        <v>85</v>
      </c>
    </row>
    <row r="30" spans="1:2" x14ac:dyDescent="0.35">
      <c r="A30" t="s">
        <v>332</v>
      </c>
      <c r="B30" t="s">
        <v>85</v>
      </c>
    </row>
    <row r="31" spans="1:2" x14ac:dyDescent="0.35">
      <c r="A31" t="s">
        <v>332</v>
      </c>
      <c r="B31" t="s">
        <v>85</v>
      </c>
    </row>
    <row r="32" spans="1:2" x14ac:dyDescent="0.35">
      <c r="A32" t="s">
        <v>332</v>
      </c>
      <c r="B32" t="s">
        <v>85</v>
      </c>
    </row>
    <row r="33" spans="1:2" x14ac:dyDescent="0.35">
      <c r="A33" t="s">
        <v>332</v>
      </c>
      <c r="B33" t="s">
        <v>85</v>
      </c>
    </row>
    <row r="34" spans="1:2" x14ac:dyDescent="0.35">
      <c r="A34" t="s">
        <v>332</v>
      </c>
      <c r="B34" t="s">
        <v>85</v>
      </c>
    </row>
    <row r="35" spans="1:2" x14ac:dyDescent="0.35">
      <c r="A35" t="s">
        <v>379</v>
      </c>
      <c r="B35" t="s">
        <v>85</v>
      </c>
    </row>
    <row r="36" spans="1:2" x14ac:dyDescent="0.35">
      <c r="A36" t="s">
        <v>379</v>
      </c>
      <c r="B36" t="s">
        <v>85</v>
      </c>
    </row>
    <row r="37" spans="1:2" x14ac:dyDescent="0.35">
      <c r="A37" t="s">
        <v>379</v>
      </c>
      <c r="B37" t="s">
        <v>85</v>
      </c>
    </row>
    <row r="38" spans="1:2" x14ac:dyDescent="0.35">
      <c r="A38" t="s">
        <v>379</v>
      </c>
      <c r="B38" t="s">
        <v>85</v>
      </c>
    </row>
    <row r="39" spans="1:2" x14ac:dyDescent="0.35">
      <c r="A39" t="s">
        <v>379</v>
      </c>
      <c r="B39" t="s">
        <v>85</v>
      </c>
    </row>
    <row r="40" spans="1:2" x14ac:dyDescent="0.35">
      <c r="A40" t="s">
        <v>379</v>
      </c>
      <c r="B40" t="s">
        <v>85</v>
      </c>
    </row>
    <row r="41" spans="1:2" x14ac:dyDescent="0.35">
      <c r="A41" t="s">
        <v>379</v>
      </c>
      <c r="B41" t="s">
        <v>85</v>
      </c>
    </row>
    <row r="42" spans="1:2" x14ac:dyDescent="0.35">
      <c r="A42" t="s">
        <v>379</v>
      </c>
      <c r="B42" t="s">
        <v>85</v>
      </c>
    </row>
    <row r="43" spans="1:2" x14ac:dyDescent="0.35">
      <c r="A43" t="s">
        <v>379</v>
      </c>
      <c r="B43" t="s">
        <v>85</v>
      </c>
    </row>
    <row r="44" spans="1:2" x14ac:dyDescent="0.35">
      <c r="A44" t="s">
        <v>379</v>
      </c>
      <c r="B44" t="s">
        <v>85</v>
      </c>
    </row>
    <row r="45" spans="1:2" x14ac:dyDescent="0.35">
      <c r="A45" t="s">
        <v>332</v>
      </c>
      <c r="B45" t="s">
        <v>85</v>
      </c>
    </row>
    <row r="46" spans="1:2" x14ac:dyDescent="0.35">
      <c r="A46" t="s">
        <v>379</v>
      </c>
      <c r="B46" t="s">
        <v>85</v>
      </c>
    </row>
    <row r="47" spans="1:2" x14ac:dyDescent="0.35">
      <c r="A47" t="s">
        <v>379</v>
      </c>
      <c r="B47" t="s">
        <v>85</v>
      </c>
    </row>
    <row r="48" spans="1:2" x14ac:dyDescent="0.35">
      <c r="A48" t="s">
        <v>379</v>
      </c>
      <c r="B48" t="s">
        <v>85</v>
      </c>
    </row>
    <row r="49" spans="1:2" x14ac:dyDescent="0.35">
      <c r="A49" t="s">
        <v>379</v>
      </c>
      <c r="B49" t="s">
        <v>85</v>
      </c>
    </row>
    <row r="50" spans="1:2" x14ac:dyDescent="0.35">
      <c r="A50" t="s">
        <v>379</v>
      </c>
      <c r="B50" t="s">
        <v>85</v>
      </c>
    </row>
    <row r="51" spans="1:2" x14ac:dyDescent="0.35">
      <c r="A51" t="s">
        <v>332</v>
      </c>
      <c r="B51" t="s">
        <v>85</v>
      </c>
    </row>
    <row r="52" spans="1:2" x14ac:dyDescent="0.35">
      <c r="A52" t="s">
        <v>379</v>
      </c>
      <c r="B52" t="s">
        <v>85</v>
      </c>
    </row>
    <row r="53" spans="1:2" x14ac:dyDescent="0.35">
      <c r="A53" t="s">
        <v>379</v>
      </c>
      <c r="B53" t="s">
        <v>85</v>
      </c>
    </row>
    <row r="54" spans="1:2" x14ac:dyDescent="0.35">
      <c r="A54" t="s">
        <v>332</v>
      </c>
      <c r="B54" t="s">
        <v>85</v>
      </c>
    </row>
    <row r="55" spans="1:2" x14ac:dyDescent="0.35">
      <c r="A55" t="s">
        <v>332</v>
      </c>
      <c r="B55" t="s">
        <v>85</v>
      </c>
    </row>
    <row r="56" spans="1:2" x14ac:dyDescent="0.35">
      <c r="A56" t="s">
        <v>332</v>
      </c>
      <c r="B56" t="s">
        <v>85</v>
      </c>
    </row>
    <row r="57" spans="1:2" x14ac:dyDescent="0.35">
      <c r="A57" t="s">
        <v>332</v>
      </c>
      <c r="B57" t="s">
        <v>85</v>
      </c>
    </row>
    <row r="58" spans="1:2" x14ac:dyDescent="0.35">
      <c r="A58" t="s">
        <v>332</v>
      </c>
      <c r="B58" t="s">
        <v>85</v>
      </c>
    </row>
    <row r="59" spans="1:2" x14ac:dyDescent="0.35">
      <c r="A59" t="s">
        <v>332</v>
      </c>
      <c r="B59" t="s">
        <v>85</v>
      </c>
    </row>
    <row r="60" spans="1:2" x14ac:dyDescent="0.35">
      <c r="A60" t="s">
        <v>332</v>
      </c>
      <c r="B60" t="s">
        <v>85</v>
      </c>
    </row>
    <row r="61" spans="1:2" x14ac:dyDescent="0.35">
      <c r="A61" t="s">
        <v>379</v>
      </c>
      <c r="B61" t="s">
        <v>85</v>
      </c>
    </row>
    <row r="62" spans="1:2" x14ac:dyDescent="0.35">
      <c r="A62" t="s">
        <v>379</v>
      </c>
      <c r="B62" t="s">
        <v>85</v>
      </c>
    </row>
    <row r="63" spans="1:2" x14ac:dyDescent="0.35">
      <c r="A63" t="s">
        <v>332</v>
      </c>
      <c r="B63" t="s">
        <v>85</v>
      </c>
    </row>
    <row r="64" spans="1:2" x14ac:dyDescent="0.35">
      <c r="A64" t="s">
        <v>332</v>
      </c>
      <c r="B64" t="s">
        <v>85</v>
      </c>
    </row>
    <row r="65" spans="1:2" x14ac:dyDescent="0.35">
      <c r="A65" t="s">
        <v>332</v>
      </c>
      <c r="B65" t="s">
        <v>85</v>
      </c>
    </row>
    <row r="66" spans="1:2" x14ac:dyDescent="0.35">
      <c r="A66" t="s">
        <v>332</v>
      </c>
      <c r="B66" t="s">
        <v>85</v>
      </c>
    </row>
    <row r="67" spans="1:2" x14ac:dyDescent="0.35">
      <c r="A67" t="s">
        <v>332</v>
      </c>
      <c r="B67" t="s">
        <v>85</v>
      </c>
    </row>
    <row r="68" spans="1:2" x14ac:dyDescent="0.35">
      <c r="A68" t="s">
        <v>332</v>
      </c>
      <c r="B68" t="s">
        <v>85</v>
      </c>
    </row>
    <row r="69" spans="1:2" x14ac:dyDescent="0.35">
      <c r="A69" t="s">
        <v>332</v>
      </c>
      <c r="B69" t="s">
        <v>85</v>
      </c>
    </row>
    <row r="70" spans="1:2" x14ac:dyDescent="0.35">
      <c r="A70" t="s">
        <v>332</v>
      </c>
      <c r="B70" t="s">
        <v>85</v>
      </c>
    </row>
    <row r="71" spans="1:2" x14ac:dyDescent="0.35">
      <c r="A71" t="s">
        <v>332</v>
      </c>
      <c r="B71" t="s">
        <v>85</v>
      </c>
    </row>
    <row r="72" spans="1:2" x14ac:dyDescent="0.35">
      <c r="A72" t="s">
        <v>332</v>
      </c>
      <c r="B72" t="s">
        <v>85</v>
      </c>
    </row>
    <row r="73" spans="1:2" x14ac:dyDescent="0.35">
      <c r="A73" t="s">
        <v>332</v>
      </c>
      <c r="B73" t="s">
        <v>85</v>
      </c>
    </row>
    <row r="74" spans="1:2" x14ac:dyDescent="0.35">
      <c r="A74" t="s">
        <v>332</v>
      </c>
      <c r="B74" t="s">
        <v>85</v>
      </c>
    </row>
    <row r="75" spans="1:2" x14ac:dyDescent="0.35">
      <c r="A75" t="s">
        <v>332</v>
      </c>
      <c r="B75" t="s">
        <v>85</v>
      </c>
    </row>
    <row r="76" spans="1:2" x14ac:dyDescent="0.35">
      <c r="A76" t="s">
        <v>379</v>
      </c>
      <c r="B76" t="s">
        <v>85</v>
      </c>
    </row>
    <row r="77" spans="1:2" x14ac:dyDescent="0.35">
      <c r="A77" t="s">
        <v>332</v>
      </c>
      <c r="B77" t="s">
        <v>85</v>
      </c>
    </row>
    <row r="78" spans="1:2" x14ac:dyDescent="0.35">
      <c r="A78" t="s">
        <v>332</v>
      </c>
      <c r="B78" t="s">
        <v>85</v>
      </c>
    </row>
    <row r="79" spans="1:2" x14ac:dyDescent="0.35">
      <c r="A79" t="s">
        <v>379</v>
      </c>
      <c r="B79" t="s">
        <v>85</v>
      </c>
    </row>
    <row r="80" spans="1:2" x14ac:dyDescent="0.35">
      <c r="A80" t="s">
        <v>379</v>
      </c>
      <c r="B80" t="s">
        <v>85</v>
      </c>
    </row>
    <row r="81" spans="1:2" x14ac:dyDescent="0.35">
      <c r="A81" t="s">
        <v>332</v>
      </c>
      <c r="B81" t="s">
        <v>85</v>
      </c>
    </row>
    <row r="82" spans="1:2" x14ac:dyDescent="0.35">
      <c r="A82" t="s">
        <v>379</v>
      </c>
      <c r="B82" t="s">
        <v>85</v>
      </c>
    </row>
    <row r="83" spans="1:2" x14ac:dyDescent="0.35">
      <c r="A83" t="s">
        <v>379</v>
      </c>
      <c r="B83" t="s">
        <v>85</v>
      </c>
    </row>
    <row r="84" spans="1:2" x14ac:dyDescent="0.35">
      <c r="A84" t="s">
        <v>379</v>
      </c>
      <c r="B84" t="s">
        <v>85</v>
      </c>
    </row>
    <row r="85" spans="1:2" x14ac:dyDescent="0.35">
      <c r="A85" t="s">
        <v>379</v>
      </c>
      <c r="B85" t="s">
        <v>85</v>
      </c>
    </row>
    <row r="86" spans="1:2" x14ac:dyDescent="0.35">
      <c r="A86" t="s">
        <v>332</v>
      </c>
      <c r="B86" t="s">
        <v>85</v>
      </c>
    </row>
    <row r="87" spans="1:2" x14ac:dyDescent="0.35">
      <c r="A87" t="s">
        <v>379</v>
      </c>
      <c r="B87" t="s">
        <v>85</v>
      </c>
    </row>
    <row r="88" spans="1:2" x14ac:dyDescent="0.35">
      <c r="A88" t="s">
        <v>332</v>
      </c>
      <c r="B88" t="s">
        <v>85</v>
      </c>
    </row>
    <row r="89" spans="1:2" x14ac:dyDescent="0.35">
      <c r="A89" t="s">
        <v>332</v>
      </c>
      <c r="B89" t="s">
        <v>85</v>
      </c>
    </row>
    <row r="90" spans="1:2" x14ac:dyDescent="0.35">
      <c r="A90" t="s">
        <v>379</v>
      </c>
      <c r="B90" t="s">
        <v>85</v>
      </c>
    </row>
    <row r="91" spans="1:2" x14ac:dyDescent="0.35">
      <c r="A91" t="s">
        <v>379</v>
      </c>
      <c r="B91" t="s">
        <v>85</v>
      </c>
    </row>
    <row r="92" spans="1:2" x14ac:dyDescent="0.35">
      <c r="A92" t="s">
        <v>379</v>
      </c>
      <c r="B92" t="s">
        <v>85</v>
      </c>
    </row>
    <row r="93" spans="1:2" x14ac:dyDescent="0.35">
      <c r="A93" t="s">
        <v>379</v>
      </c>
      <c r="B93" t="s">
        <v>85</v>
      </c>
    </row>
    <row r="94" spans="1:2" x14ac:dyDescent="0.35">
      <c r="A94" t="s">
        <v>379</v>
      </c>
      <c r="B94" t="s">
        <v>85</v>
      </c>
    </row>
    <row r="95" spans="1:2" x14ac:dyDescent="0.35">
      <c r="A95" t="s">
        <v>332</v>
      </c>
      <c r="B95" t="s">
        <v>85</v>
      </c>
    </row>
    <row r="96" spans="1:2" x14ac:dyDescent="0.35">
      <c r="A96" t="s">
        <v>379</v>
      </c>
      <c r="B96" t="s">
        <v>85</v>
      </c>
    </row>
    <row r="97" spans="1:2" x14ac:dyDescent="0.35">
      <c r="A97" t="s">
        <v>379</v>
      </c>
      <c r="B97" t="s">
        <v>85</v>
      </c>
    </row>
    <row r="98" spans="1:2" x14ac:dyDescent="0.35">
      <c r="A98" t="s">
        <v>379</v>
      </c>
      <c r="B98" t="s">
        <v>85</v>
      </c>
    </row>
    <row r="99" spans="1:2" x14ac:dyDescent="0.35">
      <c r="A99" t="s">
        <v>379</v>
      </c>
      <c r="B99" t="s">
        <v>85</v>
      </c>
    </row>
    <row r="100" spans="1:2" x14ac:dyDescent="0.35">
      <c r="A100" t="s">
        <v>379</v>
      </c>
      <c r="B100" t="s">
        <v>85</v>
      </c>
    </row>
    <row r="101" spans="1:2" x14ac:dyDescent="0.35">
      <c r="A101" t="s">
        <v>379</v>
      </c>
      <c r="B101" t="s">
        <v>85</v>
      </c>
    </row>
    <row r="102" spans="1:2" x14ac:dyDescent="0.35">
      <c r="A102" t="s">
        <v>379</v>
      </c>
      <c r="B102" t="s">
        <v>85</v>
      </c>
    </row>
    <row r="103" spans="1:2" x14ac:dyDescent="0.35">
      <c r="A103" t="s">
        <v>379</v>
      </c>
      <c r="B103" t="s">
        <v>85</v>
      </c>
    </row>
    <row r="104" spans="1:2" x14ac:dyDescent="0.35">
      <c r="A104" t="s">
        <v>379</v>
      </c>
      <c r="B104" t="s">
        <v>85</v>
      </c>
    </row>
    <row r="105" spans="1:2" x14ac:dyDescent="0.35">
      <c r="A105" t="s">
        <v>379</v>
      </c>
      <c r="B105" t="s">
        <v>85</v>
      </c>
    </row>
    <row r="106" spans="1:2" x14ac:dyDescent="0.35">
      <c r="A106" t="s">
        <v>379</v>
      </c>
      <c r="B106" t="s">
        <v>85</v>
      </c>
    </row>
    <row r="107" spans="1:2" x14ac:dyDescent="0.35">
      <c r="A107" t="s">
        <v>379</v>
      </c>
      <c r="B107" t="s">
        <v>85</v>
      </c>
    </row>
    <row r="108" spans="1:2" x14ac:dyDescent="0.35">
      <c r="A108" t="s">
        <v>379</v>
      </c>
      <c r="B108" t="s">
        <v>85</v>
      </c>
    </row>
    <row r="109" spans="1:2" x14ac:dyDescent="0.35">
      <c r="A109" t="s">
        <v>379</v>
      </c>
      <c r="B109" t="s">
        <v>85</v>
      </c>
    </row>
    <row r="110" spans="1:2" x14ac:dyDescent="0.35">
      <c r="A110" t="s">
        <v>332</v>
      </c>
      <c r="B110" t="s">
        <v>85</v>
      </c>
    </row>
    <row r="111" spans="1:2" x14ac:dyDescent="0.35">
      <c r="A111" t="s">
        <v>332</v>
      </c>
      <c r="B111" t="s">
        <v>85</v>
      </c>
    </row>
    <row r="112" spans="1:2" x14ac:dyDescent="0.35">
      <c r="A112" t="s">
        <v>379</v>
      </c>
      <c r="B112" t="s">
        <v>85</v>
      </c>
    </row>
    <row r="113" spans="1:2" x14ac:dyDescent="0.35">
      <c r="A113" t="s">
        <v>379</v>
      </c>
      <c r="B113" t="s">
        <v>85</v>
      </c>
    </row>
    <row r="114" spans="1:2" x14ac:dyDescent="0.35">
      <c r="A114" t="s">
        <v>379</v>
      </c>
      <c r="B114" t="s">
        <v>85</v>
      </c>
    </row>
    <row r="115" spans="1:2" x14ac:dyDescent="0.35">
      <c r="A115" t="s">
        <v>332</v>
      </c>
      <c r="B115" t="s">
        <v>85</v>
      </c>
    </row>
    <row r="116" spans="1:2" x14ac:dyDescent="0.35">
      <c r="A116" t="s">
        <v>379</v>
      </c>
      <c r="B116" t="s">
        <v>85</v>
      </c>
    </row>
    <row r="117" spans="1:2" x14ac:dyDescent="0.35">
      <c r="A117" t="s">
        <v>379</v>
      </c>
      <c r="B117" t="s">
        <v>85</v>
      </c>
    </row>
    <row r="118" spans="1:2" x14ac:dyDescent="0.35">
      <c r="A118" t="s">
        <v>379</v>
      </c>
      <c r="B118" t="s">
        <v>85</v>
      </c>
    </row>
    <row r="119" spans="1:2" x14ac:dyDescent="0.35">
      <c r="A119" t="s">
        <v>379</v>
      </c>
      <c r="B119" t="s">
        <v>85</v>
      </c>
    </row>
    <row r="120" spans="1:2" x14ac:dyDescent="0.35">
      <c r="A120" t="s">
        <v>379</v>
      </c>
      <c r="B120" t="s">
        <v>85</v>
      </c>
    </row>
    <row r="121" spans="1:2" x14ac:dyDescent="0.35">
      <c r="A121" t="s">
        <v>379</v>
      </c>
      <c r="B121" t="s">
        <v>85</v>
      </c>
    </row>
    <row r="122" spans="1:2" x14ac:dyDescent="0.35">
      <c r="A122" t="s">
        <v>332</v>
      </c>
      <c r="B122" t="s">
        <v>85</v>
      </c>
    </row>
    <row r="123" spans="1:2" x14ac:dyDescent="0.35">
      <c r="A123" t="s">
        <v>379</v>
      </c>
      <c r="B123" t="s">
        <v>85</v>
      </c>
    </row>
    <row r="124" spans="1:2" x14ac:dyDescent="0.35">
      <c r="A124" t="s">
        <v>379</v>
      </c>
      <c r="B124" t="s">
        <v>85</v>
      </c>
    </row>
    <row r="125" spans="1:2" x14ac:dyDescent="0.35">
      <c r="A125" t="s">
        <v>332</v>
      </c>
      <c r="B125" t="s">
        <v>85</v>
      </c>
    </row>
    <row r="126" spans="1:2" x14ac:dyDescent="0.35">
      <c r="A126" t="s">
        <v>379</v>
      </c>
      <c r="B126" t="s">
        <v>85</v>
      </c>
    </row>
    <row r="127" spans="1:2" x14ac:dyDescent="0.35">
      <c r="A127" t="s">
        <v>332</v>
      </c>
      <c r="B127" t="s">
        <v>85</v>
      </c>
    </row>
    <row r="128" spans="1:2" x14ac:dyDescent="0.35">
      <c r="A128" t="s">
        <v>379</v>
      </c>
      <c r="B128" t="s">
        <v>85</v>
      </c>
    </row>
    <row r="129" spans="1:2" x14ac:dyDescent="0.35">
      <c r="A129" t="s">
        <v>379</v>
      </c>
      <c r="B129" t="s">
        <v>85</v>
      </c>
    </row>
    <row r="130" spans="1:2" x14ac:dyDescent="0.35">
      <c r="A130" t="s">
        <v>332</v>
      </c>
      <c r="B130" t="s">
        <v>85</v>
      </c>
    </row>
    <row r="131" spans="1:2" x14ac:dyDescent="0.35">
      <c r="A131" t="s">
        <v>332</v>
      </c>
      <c r="B131" t="s">
        <v>85</v>
      </c>
    </row>
    <row r="132" spans="1:2" x14ac:dyDescent="0.35">
      <c r="A132" t="s">
        <v>332</v>
      </c>
      <c r="B132" t="s">
        <v>85</v>
      </c>
    </row>
    <row r="133" spans="1:2" x14ac:dyDescent="0.35">
      <c r="A133" t="s">
        <v>379</v>
      </c>
      <c r="B133" t="s">
        <v>85</v>
      </c>
    </row>
    <row r="134" spans="1:2" x14ac:dyDescent="0.35">
      <c r="A134" t="s">
        <v>379</v>
      </c>
      <c r="B134" t="s">
        <v>85</v>
      </c>
    </row>
    <row r="135" spans="1:2" x14ac:dyDescent="0.35">
      <c r="A135" t="s">
        <v>332</v>
      </c>
      <c r="B135" t="s">
        <v>85</v>
      </c>
    </row>
    <row r="136" spans="1:2" x14ac:dyDescent="0.35">
      <c r="A136" t="s">
        <v>332</v>
      </c>
      <c r="B136" t="s">
        <v>85</v>
      </c>
    </row>
    <row r="137" spans="1:2" x14ac:dyDescent="0.35">
      <c r="A137" t="s">
        <v>379</v>
      </c>
      <c r="B137" t="s">
        <v>85</v>
      </c>
    </row>
    <row r="138" spans="1:2" x14ac:dyDescent="0.35">
      <c r="A138" t="s">
        <v>379</v>
      </c>
      <c r="B138" t="s">
        <v>85</v>
      </c>
    </row>
    <row r="139" spans="1:2" x14ac:dyDescent="0.35">
      <c r="A139" t="s">
        <v>379</v>
      </c>
      <c r="B139" t="s">
        <v>85</v>
      </c>
    </row>
    <row r="140" spans="1:2" x14ac:dyDescent="0.35">
      <c r="A140" t="s">
        <v>379</v>
      </c>
      <c r="B140" t="s">
        <v>85</v>
      </c>
    </row>
    <row r="141" spans="1:2" x14ac:dyDescent="0.35">
      <c r="A141" t="s">
        <v>379</v>
      </c>
      <c r="B141" t="s">
        <v>85</v>
      </c>
    </row>
    <row r="142" spans="1:2" x14ac:dyDescent="0.35">
      <c r="A142" t="s">
        <v>379</v>
      </c>
      <c r="B142" t="s">
        <v>85</v>
      </c>
    </row>
    <row r="143" spans="1:2" x14ac:dyDescent="0.35">
      <c r="A143" t="s">
        <v>379</v>
      </c>
      <c r="B143" t="s">
        <v>85</v>
      </c>
    </row>
    <row r="144" spans="1:2" x14ac:dyDescent="0.35">
      <c r="A144" t="s">
        <v>379</v>
      </c>
      <c r="B144" t="s">
        <v>85</v>
      </c>
    </row>
    <row r="145" spans="1:2" x14ac:dyDescent="0.35">
      <c r="A145" t="s">
        <v>379</v>
      </c>
      <c r="B145" t="s">
        <v>85</v>
      </c>
    </row>
    <row r="146" spans="1:2" x14ac:dyDescent="0.35">
      <c r="A146" t="s">
        <v>379</v>
      </c>
      <c r="B146" t="s">
        <v>85</v>
      </c>
    </row>
    <row r="147" spans="1:2" x14ac:dyDescent="0.35">
      <c r="A147" t="s">
        <v>379</v>
      </c>
      <c r="B147" t="s">
        <v>85</v>
      </c>
    </row>
    <row r="148" spans="1:2" x14ac:dyDescent="0.35">
      <c r="A148" t="s">
        <v>379</v>
      </c>
      <c r="B148" t="s">
        <v>85</v>
      </c>
    </row>
    <row r="149" spans="1:2" x14ac:dyDescent="0.35">
      <c r="A149" t="s">
        <v>379</v>
      </c>
      <c r="B149" t="s">
        <v>85</v>
      </c>
    </row>
    <row r="150" spans="1:2" x14ac:dyDescent="0.35">
      <c r="A150" t="s">
        <v>379</v>
      </c>
      <c r="B150" t="s">
        <v>85</v>
      </c>
    </row>
    <row r="151" spans="1:2" x14ac:dyDescent="0.35">
      <c r="A151" t="s">
        <v>379</v>
      </c>
      <c r="B151" t="s">
        <v>85</v>
      </c>
    </row>
    <row r="152" spans="1:2" x14ac:dyDescent="0.35">
      <c r="A152" t="s">
        <v>379</v>
      </c>
      <c r="B152" t="s">
        <v>85</v>
      </c>
    </row>
    <row r="153" spans="1:2" x14ac:dyDescent="0.35">
      <c r="A153" t="s">
        <v>379</v>
      </c>
      <c r="B153" t="s">
        <v>85</v>
      </c>
    </row>
    <row r="154" spans="1:2" x14ac:dyDescent="0.35">
      <c r="A154" t="s">
        <v>379</v>
      </c>
      <c r="B154" t="s">
        <v>85</v>
      </c>
    </row>
    <row r="155" spans="1:2" x14ac:dyDescent="0.35">
      <c r="A155" t="s">
        <v>379</v>
      </c>
      <c r="B155" t="s">
        <v>85</v>
      </c>
    </row>
    <row r="156" spans="1:2" x14ac:dyDescent="0.35">
      <c r="A156" t="s">
        <v>379</v>
      </c>
      <c r="B156" t="s">
        <v>85</v>
      </c>
    </row>
    <row r="157" spans="1:2" x14ac:dyDescent="0.35">
      <c r="A157" t="s">
        <v>379</v>
      </c>
      <c r="B157" t="s">
        <v>85</v>
      </c>
    </row>
    <row r="158" spans="1:2" x14ac:dyDescent="0.35">
      <c r="A158" t="s">
        <v>379</v>
      </c>
      <c r="B158" t="s">
        <v>85</v>
      </c>
    </row>
    <row r="159" spans="1:2" x14ac:dyDescent="0.35">
      <c r="A159" t="s">
        <v>332</v>
      </c>
      <c r="B159" t="s">
        <v>85</v>
      </c>
    </row>
    <row r="160" spans="1:2" x14ac:dyDescent="0.35">
      <c r="A160" t="s">
        <v>379</v>
      </c>
      <c r="B160" t="s">
        <v>85</v>
      </c>
    </row>
    <row r="161" spans="1:2" x14ac:dyDescent="0.35">
      <c r="A161" t="s">
        <v>379</v>
      </c>
      <c r="B161" t="s">
        <v>85</v>
      </c>
    </row>
    <row r="162" spans="1:2" x14ac:dyDescent="0.35">
      <c r="A162" t="s">
        <v>379</v>
      </c>
      <c r="B162" t="s">
        <v>85</v>
      </c>
    </row>
    <row r="163" spans="1:2" x14ac:dyDescent="0.35">
      <c r="A163" t="s">
        <v>379</v>
      </c>
      <c r="B163" t="s">
        <v>85</v>
      </c>
    </row>
    <row r="164" spans="1:2" x14ac:dyDescent="0.35">
      <c r="A164" t="s">
        <v>332</v>
      </c>
      <c r="B164" t="s">
        <v>85</v>
      </c>
    </row>
    <row r="165" spans="1:2" x14ac:dyDescent="0.35">
      <c r="A165" t="s">
        <v>379</v>
      </c>
      <c r="B165" t="s">
        <v>85</v>
      </c>
    </row>
    <row r="166" spans="1:2" x14ac:dyDescent="0.35">
      <c r="A166" t="s">
        <v>379</v>
      </c>
      <c r="B166" t="s">
        <v>85</v>
      </c>
    </row>
    <row r="167" spans="1:2" x14ac:dyDescent="0.35">
      <c r="A167" t="s">
        <v>332</v>
      </c>
      <c r="B167" t="s">
        <v>85</v>
      </c>
    </row>
    <row r="168" spans="1:2" x14ac:dyDescent="0.35">
      <c r="A168" t="s">
        <v>379</v>
      </c>
      <c r="B168" t="s">
        <v>85</v>
      </c>
    </row>
    <row r="169" spans="1:2" x14ac:dyDescent="0.35">
      <c r="A169" t="s">
        <v>379</v>
      </c>
      <c r="B169" t="s">
        <v>85</v>
      </c>
    </row>
    <row r="170" spans="1:2" x14ac:dyDescent="0.35">
      <c r="A170" t="s">
        <v>379</v>
      </c>
      <c r="B170" t="s">
        <v>85</v>
      </c>
    </row>
    <row r="171" spans="1:2" x14ac:dyDescent="0.35">
      <c r="A171" t="s">
        <v>332</v>
      </c>
      <c r="B171" t="s">
        <v>85</v>
      </c>
    </row>
    <row r="172" spans="1:2" x14ac:dyDescent="0.35">
      <c r="A172" t="s">
        <v>379</v>
      </c>
      <c r="B172" t="s">
        <v>85</v>
      </c>
    </row>
    <row r="173" spans="1:2" x14ac:dyDescent="0.35">
      <c r="A173" t="s">
        <v>379</v>
      </c>
      <c r="B173" t="s">
        <v>85</v>
      </c>
    </row>
    <row r="174" spans="1:2" x14ac:dyDescent="0.35">
      <c r="A174" t="s">
        <v>379</v>
      </c>
      <c r="B174" t="s">
        <v>85</v>
      </c>
    </row>
    <row r="175" spans="1:2" x14ac:dyDescent="0.35">
      <c r="A175" t="s">
        <v>332</v>
      </c>
      <c r="B175" t="s">
        <v>85</v>
      </c>
    </row>
    <row r="176" spans="1:2" x14ac:dyDescent="0.35">
      <c r="A176" t="s">
        <v>332</v>
      </c>
      <c r="B176" t="s">
        <v>85</v>
      </c>
    </row>
    <row r="177" spans="1:2" x14ac:dyDescent="0.35">
      <c r="A177" t="s">
        <v>332</v>
      </c>
      <c r="B177" t="s">
        <v>85</v>
      </c>
    </row>
    <row r="178" spans="1:2" x14ac:dyDescent="0.35">
      <c r="A178" t="s">
        <v>379</v>
      </c>
      <c r="B178" t="s">
        <v>85</v>
      </c>
    </row>
    <row r="179" spans="1:2" x14ac:dyDescent="0.35">
      <c r="A179" t="s">
        <v>379</v>
      </c>
      <c r="B179" t="s">
        <v>85</v>
      </c>
    </row>
    <row r="180" spans="1:2" x14ac:dyDescent="0.35">
      <c r="A180" t="s">
        <v>379</v>
      </c>
      <c r="B180" t="s">
        <v>85</v>
      </c>
    </row>
    <row r="181" spans="1:2" x14ac:dyDescent="0.35">
      <c r="A181" t="s">
        <v>379</v>
      </c>
      <c r="B181" t="s">
        <v>85</v>
      </c>
    </row>
    <row r="182" spans="1:2" x14ac:dyDescent="0.35">
      <c r="A182" t="s">
        <v>379</v>
      </c>
      <c r="B182" t="s">
        <v>85</v>
      </c>
    </row>
    <row r="183" spans="1:2" x14ac:dyDescent="0.35">
      <c r="A183" t="s">
        <v>379</v>
      </c>
      <c r="B183" t="s">
        <v>85</v>
      </c>
    </row>
    <row r="184" spans="1:2" x14ac:dyDescent="0.35">
      <c r="A184" t="s">
        <v>379</v>
      </c>
      <c r="B184" t="s">
        <v>85</v>
      </c>
    </row>
    <row r="185" spans="1:2" x14ac:dyDescent="0.35">
      <c r="A185" t="s">
        <v>332</v>
      </c>
      <c r="B185" t="s">
        <v>85</v>
      </c>
    </row>
    <row r="186" spans="1:2" x14ac:dyDescent="0.35">
      <c r="A186" t="s">
        <v>332</v>
      </c>
      <c r="B186" t="s">
        <v>85</v>
      </c>
    </row>
    <row r="187" spans="1:2" x14ac:dyDescent="0.35">
      <c r="A187" t="s">
        <v>379</v>
      </c>
      <c r="B187" t="s">
        <v>85</v>
      </c>
    </row>
    <row r="188" spans="1:2" x14ac:dyDescent="0.35">
      <c r="A188" t="s">
        <v>379</v>
      </c>
      <c r="B188" t="s">
        <v>85</v>
      </c>
    </row>
    <row r="189" spans="1:2" x14ac:dyDescent="0.35">
      <c r="A189" t="s">
        <v>379</v>
      </c>
      <c r="B189" t="s">
        <v>85</v>
      </c>
    </row>
    <row r="190" spans="1:2" x14ac:dyDescent="0.35">
      <c r="A190" t="s">
        <v>379</v>
      </c>
      <c r="B190" t="s">
        <v>85</v>
      </c>
    </row>
    <row r="191" spans="1:2" x14ac:dyDescent="0.35">
      <c r="A191" t="s">
        <v>379</v>
      </c>
      <c r="B191" t="s">
        <v>85</v>
      </c>
    </row>
    <row r="192" spans="1:2" x14ac:dyDescent="0.35">
      <c r="A192" t="s">
        <v>379</v>
      </c>
      <c r="B192" t="s">
        <v>85</v>
      </c>
    </row>
    <row r="193" spans="1:2" x14ac:dyDescent="0.35">
      <c r="A193" t="s">
        <v>379</v>
      </c>
      <c r="B193" t="s">
        <v>85</v>
      </c>
    </row>
    <row r="194" spans="1:2" x14ac:dyDescent="0.35">
      <c r="A194" t="s">
        <v>379</v>
      </c>
      <c r="B194" t="s">
        <v>85</v>
      </c>
    </row>
    <row r="195" spans="1:2" x14ac:dyDescent="0.35">
      <c r="A195" t="s">
        <v>379</v>
      </c>
      <c r="B195" t="s">
        <v>85</v>
      </c>
    </row>
    <row r="196" spans="1:2" x14ac:dyDescent="0.35">
      <c r="A196" t="s">
        <v>332</v>
      </c>
      <c r="B196" t="s">
        <v>85</v>
      </c>
    </row>
    <row r="197" spans="1:2" x14ac:dyDescent="0.35">
      <c r="A197" t="s">
        <v>332</v>
      </c>
      <c r="B197" t="s">
        <v>85</v>
      </c>
    </row>
    <row r="198" spans="1:2" x14ac:dyDescent="0.35">
      <c r="A198" t="s">
        <v>379</v>
      </c>
      <c r="B198" t="s">
        <v>85</v>
      </c>
    </row>
    <row r="199" spans="1:2" x14ac:dyDescent="0.35">
      <c r="A199" t="s">
        <v>379</v>
      </c>
      <c r="B199" t="s">
        <v>85</v>
      </c>
    </row>
    <row r="200" spans="1:2" x14ac:dyDescent="0.35">
      <c r="A200" t="s">
        <v>379</v>
      </c>
      <c r="B200" t="s">
        <v>85</v>
      </c>
    </row>
    <row r="201" spans="1:2" x14ac:dyDescent="0.35">
      <c r="A201" t="s">
        <v>332</v>
      </c>
      <c r="B201" t="s">
        <v>85</v>
      </c>
    </row>
    <row r="202" spans="1:2" x14ac:dyDescent="0.35">
      <c r="A202" t="s">
        <v>379</v>
      </c>
      <c r="B202" t="s">
        <v>85</v>
      </c>
    </row>
    <row r="203" spans="1:2" x14ac:dyDescent="0.35">
      <c r="A203" t="s">
        <v>332</v>
      </c>
      <c r="B203" t="s">
        <v>85</v>
      </c>
    </row>
    <row r="204" spans="1:2" x14ac:dyDescent="0.35">
      <c r="A204" t="s">
        <v>379</v>
      </c>
      <c r="B204" t="s">
        <v>85</v>
      </c>
    </row>
    <row r="205" spans="1:2" x14ac:dyDescent="0.35">
      <c r="A205" t="s">
        <v>379</v>
      </c>
      <c r="B205" t="s">
        <v>85</v>
      </c>
    </row>
    <row r="206" spans="1:2" x14ac:dyDescent="0.35">
      <c r="A206" t="s">
        <v>379</v>
      </c>
      <c r="B206" t="s">
        <v>85</v>
      </c>
    </row>
    <row r="207" spans="1:2" x14ac:dyDescent="0.35">
      <c r="A207" t="s">
        <v>379</v>
      </c>
      <c r="B207" t="s">
        <v>85</v>
      </c>
    </row>
    <row r="208" spans="1:2" x14ac:dyDescent="0.35">
      <c r="A208" t="s">
        <v>379</v>
      </c>
      <c r="B208" t="s">
        <v>85</v>
      </c>
    </row>
    <row r="209" spans="1:2" x14ac:dyDescent="0.35">
      <c r="A209" t="s">
        <v>379</v>
      </c>
      <c r="B209" t="s">
        <v>85</v>
      </c>
    </row>
    <row r="210" spans="1:2" x14ac:dyDescent="0.35">
      <c r="A210" t="s">
        <v>332</v>
      </c>
      <c r="B210" t="s">
        <v>85</v>
      </c>
    </row>
    <row r="211" spans="1:2" x14ac:dyDescent="0.35">
      <c r="A211" t="s">
        <v>379</v>
      </c>
      <c r="B211" t="s">
        <v>85</v>
      </c>
    </row>
    <row r="212" spans="1:2" x14ac:dyDescent="0.35">
      <c r="A212" t="s">
        <v>332</v>
      </c>
      <c r="B212" t="s">
        <v>85</v>
      </c>
    </row>
    <row r="213" spans="1:2" x14ac:dyDescent="0.35">
      <c r="A213" t="s">
        <v>332</v>
      </c>
      <c r="B213" t="s">
        <v>85</v>
      </c>
    </row>
    <row r="214" spans="1:2" x14ac:dyDescent="0.35">
      <c r="A214" t="s">
        <v>332</v>
      </c>
      <c r="B214" t="s">
        <v>85</v>
      </c>
    </row>
    <row r="215" spans="1:2" x14ac:dyDescent="0.35">
      <c r="A215" t="s">
        <v>332</v>
      </c>
      <c r="B215" t="s">
        <v>85</v>
      </c>
    </row>
    <row r="216" spans="1:2" x14ac:dyDescent="0.35">
      <c r="A216" t="s">
        <v>332</v>
      </c>
      <c r="B216" t="s">
        <v>85</v>
      </c>
    </row>
    <row r="217" spans="1:2" x14ac:dyDescent="0.35">
      <c r="A217" t="s">
        <v>332</v>
      </c>
      <c r="B217" t="s">
        <v>85</v>
      </c>
    </row>
    <row r="218" spans="1:2" x14ac:dyDescent="0.35">
      <c r="A218" t="s">
        <v>332</v>
      </c>
      <c r="B218" t="s">
        <v>85</v>
      </c>
    </row>
    <row r="219" spans="1:2" x14ac:dyDescent="0.35">
      <c r="A219" t="s">
        <v>379</v>
      </c>
      <c r="B219" t="s">
        <v>85</v>
      </c>
    </row>
    <row r="220" spans="1:2" x14ac:dyDescent="0.35">
      <c r="A220" t="s">
        <v>379</v>
      </c>
      <c r="B220" t="s">
        <v>85</v>
      </c>
    </row>
    <row r="221" spans="1:2" x14ac:dyDescent="0.35">
      <c r="A221" t="s">
        <v>83</v>
      </c>
      <c r="B221" t="s">
        <v>104</v>
      </c>
    </row>
    <row r="222" spans="1:2" x14ac:dyDescent="0.35">
      <c r="A222" t="s">
        <v>332</v>
      </c>
      <c r="B222" t="s">
        <v>85</v>
      </c>
    </row>
    <row r="223" spans="1:2" x14ac:dyDescent="0.35">
      <c r="A223" t="s">
        <v>332</v>
      </c>
      <c r="B223" t="s">
        <v>85</v>
      </c>
    </row>
    <row r="224" spans="1:2" x14ac:dyDescent="0.35">
      <c r="A224" t="s">
        <v>379</v>
      </c>
      <c r="B224" t="s">
        <v>85</v>
      </c>
    </row>
    <row r="225" spans="1:2" x14ac:dyDescent="0.35">
      <c r="A225" t="s">
        <v>379</v>
      </c>
      <c r="B225" t="s">
        <v>85</v>
      </c>
    </row>
    <row r="226" spans="1:2" x14ac:dyDescent="0.35">
      <c r="A226" t="s">
        <v>379</v>
      </c>
      <c r="B226" t="s">
        <v>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D558-7CAB-488F-9BCC-1D29ACEF5C7E}">
  <dimension ref="A1:B7"/>
  <sheetViews>
    <sheetView workbookViewId="0">
      <selection activeCell="B2" sqref="B2"/>
    </sheetView>
  </sheetViews>
  <sheetFormatPr defaultRowHeight="14.5" x14ac:dyDescent="0.35"/>
  <cols>
    <col min="1" max="1" width="12.36328125" bestFit="1" customWidth="1"/>
    <col min="2" max="2" width="24.453125" bestFit="1" customWidth="1"/>
  </cols>
  <sheetData>
    <row r="1" spans="1:2" x14ac:dyDescent="0.35">
      <c r="A1" s="12" t="s">
        <v>312</v>
      </c>
      <c r="B1" t="s">
        <v>318</v>
      </c>
    </row>
    <row r="2" spans="1:2" x14ac:dyDescent="0.35">
      <c r="A2" s="13" t="s">
        <v>142</v>
      </c>
      <c r="B2" s="14">
        <v>0.22914965060350304</v>
      </c>
    </row>
    <row r="3" spans="1:2" x14ac:dyDescent="0.35">
      <c r="A3" s="13" t="s">
        <v>108</v>
      </c>
      <c r="B3" s="14">
        <v>0.77085034939649699</v>
      </c>
    </row>
    <row r="4" spans="1:2" x14ac:dyDescent="0.35">
      <c r="A4" s="13" t="s">
        <v>313</v>
      </c>
      <c r="B4" s="14">
        <v>1</v>
      </c>
    </row>
    <row r="6" spans="1:2" x14ac:dyDescent="0.35">
      <c r="B6" s="18">
        <f>GETPIVOTDATA("Transaction Amount",$A$1,"Service Type","Express")/GETPIVOTDATA("Transaction Amount",$A$1)</f>
        <v>0.22914965060350304</v>
      </c>
    </row>
    <row r="7" spans="1:2" x14ac:dyDescent="0.35">
      <c r="B7" s="18">
        <f>GETPIVOTDATA("Transaction Amount",$A$1,"Service Type","Standard")/GETPIVOTDATA("Transaction Amount",$A$1)</f>
        <v>0.77085034939649699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3AA3-537B-492D-BED0-9E7DE7E9F380}">
  <dimension ref="A2:B28"/>
  <sheetViews>
    <sheetView workbookViewId="0">
      <selection activeCell="M11" sqref="M11"/>
    </sheetView>
  </sheetViews>
  <sheetFormatPr defaultRowHeight="14.5" x14ac:dyDescent="0.35"/>
  <cols>
    <col min="1" max="1" width="12.36328125" bestFit="1" customWidth="1"/>
    <col min="2" max="2" width="24.453125" bestFit="1" customWidth="1"/>
  </cols>
  <sheetData>
    <row r="2" spans="1:2" x14ac:dyDescent="0.35">
      <c r="A2" s="12" t="s">
        <v>312</v>
      </c>
      <c r="B2" t="s">
        <v>318</v>
      </c>
    </row>
    <row r="3" spans="1:2" x14ac:dyDescent="0.35">
      <c r="A3" s="27">
        <v>45566</v>
      </c>
      <c r="B3" s="4">
        <v>990</v>
      </c>
    </row>
    <row r="4" spans="1:2" x14ac:dyDescent="0.35">
      <c r="A4" s="27">
        <v>45568</v>
      </c>
      <c r="B4" s="4">
        <v>2870</v>
      </c>
    </row>
    <row r="5" spans="1:2" x14ac:dyDescent="0.35">
      <c r="A5" s="27">
        <v>45569</v>
      </c>
      <c r="B5" s="4">
        <v>4740</v>
      </c>
    </row>
    <row r="6" spans="1:2" x14ac:dyDescent="0.35">
      <c r="A6" s="27">
        <v>45570</v>
      </c>
      <c r="B6" s="4">
        <v>8140</v>
      </c>
    </row>
    <row r="7" spans="1:2" x14ac:dyDescent="0.35">
      <c r="A7" s="27">
        <v>45571</v>
      </c>
      <c r="B7" s="4">
        <v>260</v>
      </c>
    </row>
    <row r="8" spans="1:2" x14ac:dyDescent="0.35">
      <c r="A8" s="27">
        <v>45572</v>
      </c>
      <c r="B8" s="4">
        <v>6355</v>
      </c>
    </row>
    <row r="9" spans="1:2" x14ac:dyDescent="0.35">
      <c r="A9" s="27">
        <v>45573</v>
      </c>
      <c r="B9" s="4">
        <v>1400</v>
      </c>
    </row>
    <row r="10" spans="1:2" x14ac:dyDescent="0.35">
      <c r="A10" s="27">
        <v>45574</v>
      </c>
      <c r="B10" s="4">
        <v>2410</v>
      </c>
    </row>
    <row r="11" spans="1:2" x14ac:dyDescent="0.35">
      <c r="A11" s="27">
        <v>45575</v>
      </c>
      <c r="B11" s="4">
        <v>1720</v>
      </c>
    </row>
    <row r="12" spans="1:2" x14ac:dyDescent="0.35">
      <c r="A12" s="27">
        <v>45576</v>
      </c>
      <c r="B12" s="4">
        <v>920</v>
      </c>
    </row>
    <row r="13" spans="1:2" x14ac:dyDescent="0.35">
      <c r="A13" s="27">
        <v>45577</v>
      </c>
      <c r="B13" s="4">
        <v>1960</v>
      </c>
    </row>
    <row r="14" spans="1:2" x14ac:dyDescent="0.35">
      <c r="A14" s="27">
        <v>45578</v>
      </c>
      <c r="B14" s="4">
        <v>170</v>
      </c>
    </row>
    <row r="15" spans="1:2" x14ac:dyDescent="0.35">
      <c r="A15" s="27">
        <v>45579</v>
      </c>
      <c r="B15" s="4">
        <v>3560</v>
      </c>
    </row>
    <row r="16" spans="1:2" x14ac:dyDescent="0.35">
      <c r="A16" s="27">
        <v>45580</v>
      </c>
      <c r="B16" s="4">
        <v>3120</v>
      </c>
    </row>
    <row r="17" spans="1:2" x14ac:dyDescent="0.35">
      <c r="A17" s="27">
        <v>45581</v>
      </c>
      <c r="B17" s="4">
        <v>1210</v>
      </c>
    </row>
    <row r="18" spans="1:2" x14ac:dyDescent="0.35">
      <c r="A18" s="27">
        <v>45583</v>
      </c>
      <c r="B18" s="4">
        <v>1000</v>
      </c>
    </row>
    <row r="19" spans="1:2" x14ac:dyDescent="0.35">
      <c r="A19" s="27">
        <v>45584</v>
      </c>
      <c r="B19" s="4">
        <v>490</v>
      </c>
    </row>
    <row r="20" spans="1:2" x14ac:dyDescent="0.35">
      <c r="A20" s="27">
        <v>45586</v>
      </c>
      <c r="B20" s="4">
        <v>2050</v>
      </c>
    </row>
    <row r="21" spans="1:2" x14ac:dyDescent="0.35">
      <c r="A21" s="27">
        <v>45587</v>
      </c>
      <c r="B21" s="4">
        <v>3010</v>
      </c>
    </row>
    <row r="22" spans="1:2" x14ac:dyDescent="0.35">
      <c r="A22" s="27">
        <v>45588</v>
      </c>
      <c r="B22" s="4">
        <v>1800</v>
      </c>
    </row>
    <row r="23" spans="1:2" x14ac:dyDescent="0.35">
      <c r="A23" s="27">
        <v>45589</v>
      </c>
      <c r="B23" s="4">
        <v>3390</v>
      </c>
    </row>
    <row r="24" spans="1:2" x14ac:dyDescent="0.35">
      <c r="A24" s="27">
        <v>45590</v>
      </c>
      <c r="B24" s="4">
        <v>2260</v>
      </c>
    </row>
    <row r="25" spans="1:2" x14ac:dyDescent="0.35">
      <c r="A25" s="27">
        <v>45591</v>
      </c>
      <c r="B25" s="4">
        <v>780</v>
      </c>
    </row>
    <row r="26" spans="1:2" x14ac:dyDescent="0.35">
      <c r="A26" s="27">
        <v>45593</v>
      </c>
      <c r="B26" s="4">
        <v>250</v>
      </c>
    </row>
    <row r="27" spans="1:2" x14ac:dyDescent="0.35">
      <c r="A27" s="27">
        <v>45595</v>
      </c>
      <c r="B27" s="4">
        <v>240</v>
      </c>
    </row>
    <row r="28" spans="1:2" x14ac:dyDescent="0.35">
      <c r="A28" s="27" t="s">
        <v>313</v>
      </c>
      <c r="B28" s="4">
        <v>55095</v>
      </c>
    </row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5BEF-819F-4BBF-9614-603A7F852E1C}">
  <dimension ref="A1:H10"/>
  <sheetViews>
    <sheetView zoomScale="129" workbookViewId="0">
      <selection activeCell="E7" sqref="E7"/>
    </sheetView>
  </sheetViews>
  <sheetFormatPr defaultRowHeight="14.5" x14ac:dyDescent="0.35"/>
  <cols>
    <col min="1" max="1" width="11.6328125" customWidth="1"/>
    <col min="2" max="2" width="10.08984375" customWidth="1"/>
    <col min="3" max="3" width="11.7265625" customWidth="1"/>
    <col min="8" max="8" width="22.08984375" customWidth="1"/>
  </cols>
  <sheetData>
    <row r="1" spans="1:8" x14ac:dyDescent="0.35">
      <c r="A1" s="41" t="s">
        <v>370</v>
      </c>
      <c r="B1" s="41"/>
      <c r="C1" s="41"/>
    </row>
    <row r="2" spans="1:8" ht="43.5" x14ac:dyDescent="0.35">
      <c r="A2" s="38" t="s">
        <v>371</v>
      </c>
      <c r="B2" s="38" t="s">
        <v>372</v>
      </c>
      <c r="C2" s="38" t="s">
        <v>373</v>
      </c>
    </row>
    <row r="3" spans="1:8" x14ac:dyDescent="0.35">
      <c r="A3" s="39" t="s">
        <v>89</v>
      </c>
      <c r="B3" s="39">
        <v>466.8</v>
      </c>
      <c r="C3" s="40" t="s">
        <v>374</v>
      </c>
    </row>
    <row r="4" spans="1:8" x14ac:dyDescent="0.35">
      <c r="A4" s="39" t="s">
        <v>136</v>
      </c>
      <c r="B4" s="39">
        <v>1163.2</v>
      </c>
      <c r="C4" s="40" t="s">
        <v>376</v>
      </c>
    </row>
    <row r="5" spans="1:8" x14ac:dyDescent="0.35">
      <c r="A5" s="39" t="s">
        <v>88</v>
      </c>
      <c r="B5" s="39">
        <v>86.8</v>
      </c>
      <c r="C5" s="40" t="s">
        <v>378</v>
      </c>
    </row>
    <row r="6" spans="1:8" x14ac:dyDescent="0.35">
      <c r="A6" s="39" t="s">
        <v>375</v>
      </c>
      <c r="B6" s="39">
        <v>1787</v>
      </c>
      <c r="C6" s="40" t="s">
        <v>377</v>
      </c>
    </row>
    <row r="7" spans="1:8" x14ac:dyDescent="0.35">
      <c r="H7" s="37"/>
    </row>
    <row r="8" spans="1:8" x14ac:dyDescent="0.35">
      <c r="H8" s="37"/>
    </row>
    <row r="9" spans="1:8" x14ac:dyDescent="0.35">
      <c r="H9" s="37"/>
    </row>
    <row r="10" spans="1:8" x14ac:dyDescent="0.35">
      <c r="H10" s="3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problem statement_1</vt:lpstr>
      <vt:lpstr>problem_statement_2.2</vt:lpstr>
      <vt:lpstr>problem_statement_2.0</vt:lpstr>
      <vt:lpstr>high_demand_regions</vt:lpstr>
      <vt:lpstr>heatmap</vt:lpstr>
      <vt:lpstr>problem_statement_2.1</vt:lpstr>
      <vt:lpstr>problem_statement_2.3</vt:lpstr>
      <vt:lpstr>avg_del_time</vt:lpstr>
      <vt:lpstr>delayed_parcels</vt:lpstr>
      <vt:lpstr>%delayed_parcels_by_region</vt:lpstr>
      <vt:lpstr>standard_or_express</vt:lpstr>
      <vt:lpstr>parcel_weights</vt:lpstr>
      <vt:lpstr>parcel_weights vs revenue</vt:lpstr>
      <vt:lpstr>parcel weight vs delivery time</vt:lpstr>
      <vt:lpstr>Sheet2</vt:lpstr>
      <vt:lpstr>peak_weekday</vt:lpstr>
      <vt:lpstr>original_data</vt:lpstr>
      <vt:lpstr>Sheet4</vt:lpstr>
      <vt:lpstr>service_type vs revenue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Avishi Prasad</dc:creator>
  <cp:lastModifiedBy>Avishi Prasad</cp:lastModifiedBy>
  <dcterms:created xsi:type="dcterms:W3CDTF">2025-03-18T13:56:59Z</dcterms:created>
  <dcterms:modified xsi:type="dcterms:W3CDTF">2026-01-14T16:49:30Z</dcterms:modified>
</cp:coreProperties>
</file>